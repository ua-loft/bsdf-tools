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akep\Documents\Optics_local\UofA\bsdf-tools\docs\instruments\blacklab\"/>
    </mc:Choice>
  </mc:AlternateContent>
  <xr:revisionPtr revIDLastSave="0" documentId="13_ncr:1_{A119FEDE-5280-4AB7-A2C5-69D364082ED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6" i="1"/>
  <c r="H14" i="1"/>
  <c r="I14" i="1" s="1"/>
  <c r="H19" i="1"/>
  <c r="F16" i="1"/>
  <c r="D17" i="1"/>
  <c r="D19" i="1" s="1"/>
  <c r="C17" i="1"/>
  <c r="C19" i="1" s="1"/>
  <c r="G19" i="1"/>
  <c r="F19" i="1"/>
  <c r="E19" i="1"/>
  <c r="C12" i="1"/>
  <c r="C14" i="1" s="1"/>
  <c r="G14" i="1"/>
  <c r="F14" i="1"/>
  <c r="E14" i="1"/>
  <c r="D14" i="1"/>
  <c r="C7" i="1"/>
  <c r="C9" i="1"/>
  <c r="D9" i="1"/>
  <c r="E9" i="1"/>
  <c r="F9" i="1"/>
  <c r="H9" i="1" s="1"/>
  <c r="I9" i="1" s="1"/>
  <c r="G9" i="1"/>
  <c r="I1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Jacob Krell</author>
  </authors>
  <commentList>
    <comment ref="I5" authorId="0" shapeId="0" xr:uid="{D4A4B16B-2AE7-4BAE-ABC5-DE67BA12782F}">
      <text>
        <r>
          <rPr>
            <b/>
            <sz val="9"/>
            <color indexed="81"/>
            <rFont val="Tahoma"/>
            <family val="2"/>
          </rPr>
          <t>Jacob Krell:</t>
        </r>
        <r>
          <rPr>
            <sz val="9"/>
            <color indexed="81"/>
            <rFont val="Tahoma"/>
            <family val="2"/>
          </rPr>
          <t xml:space="preserve">
blacklab measurements per minute</t>
        </r>
      </text>
    </comment>
    <comment ref="C16" authorId="0" shapeId="0" xr:uid="{626E2071-88AD-4DB7-BCBC-C9063E75336E}">
      <text>
        <r>
          <rPr>
            <b/>
            <sz val="9"/>
            <color indexed="81"/>
            <rFont val="Tahoma"/>
            <family val="2"/>
          </rPr>
          <t>Jacob Krell:</t>
        </r>
        <r>
          <rPr>
            <sz val="9"/>
            <color indexed="81"/>
            <rFont val="Tahoma"/>
            <family val="2"/>
          </rPr>
          <t xml:space="preserve">
lower bound of WCC</t>
        </r>
      </text>
    </comment>
    <comment ref="C18" authorId="0" shapeId="0" xr:uid="{65E01D99-7036-4B02-BE1C-FF95743E8AAD}">
      <text>
        <r>
          <rPr>
            <b/>
            <sz val="9"/>
            <color indexed="81"/>
            <rFont val="Tahoma"/>
            <family val="2"/>
          </rPr>
          <t>Jacob Krell:</t>
        </r>
        <r>
          <rPr>
            <sz val="9"/>
            <color indexed="81"/>
            <rFont val="Tahoma"/>
            <family val="2"/>
          </rPr>
          <t xml:space="preserve">
Upper bound of IFS</t>
        </r>
      </text>
    </comment>
  </commentList>
</comments>
</file>

<file path=xl/sharedStrings.xml><?xml version="1.0" encoding="utf-8"?>
<sst xmlns="http://schemas.openxmlformats.org/spreadsheetml/2006/main" count="23" uniqueCount="15">
  <si>
    <t>Using FRED nomenclature,</t>
  </si>
  <si>
    <t>Lower bound</t>
  </si>
  <si>
    <t>Upper bound</t>
  </si>
  <si>
    <t>Spacing</t>
  </si>
  <si>
    <r>
      <rPr>
        <i/>
        <sz val="11"/>
        <color theme="1"/>
        <rFont val="Aptos Narrow"/>
        <family val="2"/>
      </rPr>
      <t>λ</t>
    </r>
    <r>
      <rPr>
        <sz val="11"/>
        <color theme="1"/>
        <rFont val="Aptos Narrow"/>
        <family val="2"/>
      </rPr>
      <t xml:space="preserve"> [nm]</t>
    </r>
  </si>
  <si>
    <r>
      <t>ϑ</t>
    </r>
    <r>
      <rPr>
        <i/>
        <vertAlign val="subscript"/>
        <sz val="11"/>
        <color theme="1"/>
        <rFont val="Aptos Narrow"/>
        <family val="2"/>
      </rPr>
      <t>i</t>
    </r>
    <r>
      <rPr>
        <i/>
        <sz val="11"/>
        <color theme="1"/>
        <rFont val="Aptos Narrow"/>
        <family val="2"/>
      </rPr>
      <t xml:space="preserve"> </t>
    </r>
    <r>
      <rPr>
        <sz val="11"/>
        <color theme="1"/>
        <rFont val="Aptos Narrow"/>
        <family val="2"/>
      </rPr>
      <t xml:space="preserve"> [deg]</t>
    </r>
  </si>
  <si>
    <r>
      <t>ϑ</t>
    </r>
    <r>
      <rPr>
        <i/>
        <vertAlign val="subscript"/>
        <sz val="11"/>
        <color theme="1"/>
        <rFont val="Aptos Narrow"/>
        <family val="2"/>
      </rPr>
      <t>s</t>
    </r>
    <r>
      <rPr>
        <i/>
        <sz val="11"/>
        <color theme="1"/>
        <rFont val="Aptos Narrow"/>
        <family val="2"/>
      </rPr>
      <t xml:space="preserve"> </t>
    </r>
    <r>
      <rPr>
        <sz val="11"/>
        <color theme="1"/>
        <rFont val="Aptos Narrow"/>
        <family val="2"/>
      </rPr>
      <t xml:space="preserve"> [deg]</t>
    </r>
  </si>
  <si>
    <r>
      <t>ϕ</t>
    </r>
    <r>
      <rPr>
        <i/>
        <vertAlign val="subscript"/>
        <sz val="11"/>
        <color theme="1"/>
        <rFont val="Aptos Narrow"/>
        <family val="2"/>
      </rPr>
      <t>i</t>
    </r>
    <r>
      <rPr>
        <i/>
        <sz val="11"/>
        <color theme="1"/>
        <rFont val="Aptos Narrow"/>
        <family val="2"/>
      </rPr>
      <t xml:space="preserve"> </t>
    </r>
    <r>
      <rPr>
        <sz val="11"/>
        <color theme="1"/>
        <rFont val="Aptos Narrow"/>
        <family val="2"/>
      </rPr>
      <t xml:space="preserve"> [deg]</t>
    </r>
  </si>
  <si>
    <r>
      <t>ϕ</t>
    </r>
    <r>
      <rPr>
        <i/>
        <vertAlign val="subscript"/>
        <sz val="11"/>
        <color theme="1"/>
        <rFont val="Aptos Narrow"/>
        <family val="2"/>
      </rPr>
      <t>s</t>
    </r>
    <r>
      <rPr>
        <i/>
        <sz val="11"/>
        <color theme="1"/>
        <rFont val="Aptos Narrow"/>
        <family val="2"/>
      </rPr>
      <t xml:space="preserve"> </t>
    </r>
    <r>
      <rPr>
        <sz val="11"/>
        <color theme="1"/>
        <rFont val="Aptos Narrow"/>
        <family val="2"/>
      </rPr>
      <t xml:space="preserve"> [deg]</t>
    </r>
  </si>
  <si>
    <t>Number of measurements</t>
  </si>
  <si>
    <t>Total per sample</t>
  </si>
  <si>
    <t>Estimated time [hours]</t>
  </si>
  <si>
    <t>actual</t>
  </si>
  <si>
    <r>
      <rPr>
        <sz val="11"/>
        <color theme="1"/>
        <rFont val="Aptos Narrow"/>
        <family val="2"/>
      </rPr>
      <t xml:space="preserve">plus  0 at </t>
    </r>
    <r>
      <rPr>
        <i/>
        <sz val="11"/>
        <color theme="1"/>
        <rFont val="Aptos Narrow"/>
        <family val="2"/>
      </rPr>
      <t>ϕ</t>
    </r>
    <r>
      <rPr>
        <i/>
        <vertAlign val="subscript"/>
        <sz val="11"/>
        <color theme="1"/>
        <rFont val="Aptos Narrow"/>
        <family val="2"/>
      </rPr>
      <t>s</t>
    </r>
    <r>
      <rPr>
        <sz val="11"/>
        <color theme="1"/>
        <rFont val="Aptos Narrow"/>
        <family val="2"/>
      </rPr>
      <t xml:space="preserve"> = 0 (not repeated across  </t>
    </r>
    <r>
      <rPr>
        <i/>
        <sz val="11"/>
        <color theme="1"/>
        <rFont val="Aptos Narrow"/>
        <family val="2"/>
      </rPr>
      <t>ϕ</t>
    </r>
    <r>
      <rPr>
        <i/>
        <vertAlign val="subscript"/>
        <sz val="11"/>
        <color theme="1"/>
        <rFont val="Aptos Narrow"/>
        <family val="2"/>
      </rPr>
      <t>s</t>
    </r>
    <r>
      <rPr>
        <sz val="11"/>
        <color theme="1"/>
        <rFont val="Aptos Narrow"/>
        <family val="2"/>
      </rPr>
      <t>)</t>
    </r>
  </si>
  <si>
    <t>v1.0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</si>
</sst>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i/>
      <vertAlign val="subscript"/>
      <sz val="11"/>
      <color theme="1"/>
      <name val="Aptos Narrow"/>
      <family val="2"/>
    </font>
    <font>
      <i/>
      <sz val="11"/>
      <color theme="1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4" fillId="0" borderId="0" xfId="0" applyFon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1" fillId="0" borderId="0" xfId="0" applyFont="1" applyBorder="1"/>
    <xf numFmtId="0" fontId="4" fillId="0" borderId="0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7"/>
  <sheetViews>
    <sheetView tabSelected="1" topLeftCell="A13" zoomScale="157" zoomScaleNormal="205" workbookViewId="0">
      <selection activeCell="A17" sqref="A17"/>
    </sheetView>
  </sheetViews>
  <sheetFormatPr defaultRowHeight="14.4" x14ac:dyDescent="0.3"/>
  <cols>
    <col min="2" max="2" width="24.33203125" customWidth="1"/>
    <col min="8" max="8" width="15.109375" customWidth="1"/>
    <col min="9" max="9" width="18.44140625" customWidth="1"/>
  </cols>
  <sheetData>
    <row r="2" spans="1:9" x14ac:dyDescent="0.3">
      <c r="B2" t="s">
        <v>0</v>
      </c>
    </row>
    <row r="4" spans="1:9" ht="15.6" x14ac:dyDescent="0.35">
      <c r="C4" s="1" t="s">
        <v>4</v>
      </c>
      <c r="D4" s="2" t="s">
        <v>5</v>
      </c>
      <c r="E4" s="2" t="s">
        <v>7</v>
      </c>
      <c r="F4" s="2" t="s">
        <v>6</v>
      </c>
      <c r="G4" s="2" t="s">
        <v>8</v>
      </c>
      <c r="H4" s="1" t="s">
        <v>10</v>
      </c>
      <c r="I4" s="1" t="s">
        <v>11</v>
      </c>
    </row>
    <row r="5" spans="1:9" x14ac:dyDescent="0.3">
      <c r="I5">
        <v>2</v>
      </c>
    </row>
    <row r="6" spans="1:9" x14ac:dyDescent="0.3">
      <c r="B6" t="s">
        <v>1</v>
      </c>
      <c r="C6">
        <v>385</v>
      </c>
      <c r="D6">
        <v>0</v>
      </c>
      <c r="E6">
        <v>0</v>
      </c>
      <c r="F6">
        <f>F7</f>
        <v>1</v>
      </c>
      <c r="G6">
        <v>0</v>
      </c>
    </row>
    <row r="7" spans="1:9" x14ac:dyDescent="0.3">
      <c r="B7" t="s">
        <v>3</v>
      </c>
      <c r="C7">
        <f>(C8-C6)/19</f>
        <v>106.21052631578948</v>
      </c>
      <c r="D7">
        <v>1</v>
      </c>
      <c r="E7">
        <v>1</v>
      </c>
      <c r="F7">
        <v>1</v>
      </c>
      <c r="G7">
        <v>1</v>
      </c>
    </row>
    <row r="8" spans="1:9" x14ac:dyDescent="0.3">
      <c r="B8" t="s">
        <v>2</v>
      </c>
      <c r="C8">
        <v>2403</v>
      </c>
      <c r="D8">
        <v>89</v>
      </c>
      <c r="E8">
        <v>359</v>
      </c>
      <c r="F8">
        <v>89</v>
      </c>
      <c r="G8">
        <v>359</v>
      </c>
    </row>
    <row r="9" spans="1:9" x14ac:dyDescent="0.3">
      <c r="B9" t="s">
        <v>9</v>
      </c>
      <c r="C9">
        <f>(C8-C6)/C7 + 1</f>
        <v>20</v>
      </c>
      <c r="D9">
        <f t="shared" ref="D9:G9" si="0">(D8-D6)/D7 + 1</f>
        <v>90</v>
      </c>
      <c r="E9">
        <f t="shared" si="0"/>
        <v>360</v>
      </c>
      <c r="F9">
        <f t="shared" si="0"/>
        <v>89</v>
      </c>
      <c r="G9">
        <f t="shared" si="0"/>
        <v>360</v>
      </c>
      <c r="H9" s="3">
        <f>PRODUCT(C9:G9) + C9*D9*E9</f>
        <v>20762568000</v>
      </c>
      <c r="I9">
        <f>H9/I$5/60</f>
        <v>173021400</v>
      </c>
    </row>
    <row r="11" spans="1:9" x14ac:dyDescent="0.3">
      <c r="B11" t="s">
        <v>1</v>
      </c>
      <c r="C11">
        <v>385</v>
      </c>
      <c r="D11">
        <v>10</v>
      </c>
      <c r="E11">
        <v>0</v>
      </c>
      <c r="F11">
        <f>F12</f>
        <v>5</v>
      </c>
      <c r="G11">
        <v>0</v>
      </c>
    </row>
    <row r="12" spans="1:9" x14ac:dyDescent="0.3">
      <c r="B12" t="s">
        <v>3</v>
      </c>
      <c r="C12">
        <f>(C13-C11)/3</f>
        <v>672.66666666666663</v>
      </c>
      <c r="D12">
        <v>20</v>
      </c>
      <c r="E12">
        <v>360</v>
      </c>
      <c r="F12">
        <v>5</v>
      </c>
      <c r="G12">
        <v>10</v>
      </c>
    </row>
    <row r="13" spans="1:9" x14ac:dyDescent="0.3">
      <c r="B13" t="s">
        <v>2</v>
      </c>
      <c r="C13">
        <v>2403</v>
      </c>
      <c r="D13">
        <v>70</v>
      </c>
      <c r="E13">
        <v>0</v>
      </c>
      <c r="F13">
        <v>85</v>
      </c>
      <c r="G13">
        <v>180</v>
      </c>
    </row>
    <row r="14" spans="1:9" x14ac:dyDescent="0.3">
      <c r="B14" t="s">
        <v>9</v>
      </c>
      <c r="C14">
        <f>(C13-C11)/C12 + 1</f>
        <v>4</v>
      </c>
      <c r="D14">
        <f t="shared" ref="D14" si="1">(D13-D11)/D12 + 1</f>
        <v>4</v>
      </c>
      <c r="E14">
        <f t="shared" ref="E14" si="2">(E13-E11)/E12 + 1</f>
        <v>1</v>
      </c>
      <c r="F14">
        <f t="shared" ref="F14" si="3">(F13-F11)/F12 + 1</f>
        <v>17</v>
      </c>
      <c r="G14">
        <f t="shared" ref="G14" si="4">(G13-G11)/G12 + 1</f>
        <v>19</v>
      </c>
      <c r="H14" s="3">
        <f>PRODUCT(C14:G14) + C14*D14*E14</f>
        <v>5184</v>
      </c>
      <c r="I14">
        <f>H14/I$5/60</f>
        <v>43.2</v>
      </c>
    </row>
    <row r="15" spans="1:9" ht="15" thickBot="1" x14ac:dyDescent="0.35"/>
    <row r="16" spans="1:9" x14ac:dyDescent="0.3">
      <c r="A16" t="s">
        <v>14</v>
      </c>
      <c r="B16" s="4" t="s">
        <v>1</v>
      </c>
      <c r="C16" s="5">
        <v>350</v>
      </c>
      <c r="D16" s="5">
        <v>5</v>
      </c>
      <c r="E16" s="5">
        <v>0</v>
      </c>
      <c r="F16" s="5">
        <f>F17</f>
        <v>5</v>
      </c>
      <c r="G16" s="5">
        <v>0</v>
      </c>
      <c r="H16" s="5"/>
      <c r="I16" s="6"/>
    </row>
    <row r="17" spans="2:9" x14ac:dyDescent="0.3">
      <c r="B17" s="7" t="s">
        <v>3</v>
      </c>
      <c r="C17" s="8">
        <f>(C18-C16)/3</f>
        <v>450</v>
      </c>
      <c r="D17" s="8">
        <f>(D18-D16)/5</f>
        <v>16</v>
      </c>
      <c r="E17" s="8">
        <v>360</v>
      </c>
      <c r="F17" s="8">
        <v>5</v>
      </c>
      <c r="G17" s="8">
        <v>10</v>
      </c>
      <c r="H17" s="8"/>
      <c r="I17" s="9"/>
    </row>
    <row r="18" spans="2:9" x14ac:dyDescent="0.3">
      <c r="B18" s="7" t="s">
        <v>2</v>
      </c>
      <c r="C18" s="8">
        <v>1700</v>
      </c>
      <c r="D18" s="8">
        <v>85</v>
      </c>
      <c r="E18" s="8">
        <v>0</v>
      </c>
      <c r="F18" s="8">
        <v>85</v>
      </c>
      <c r="G18" s="8">
        <v>180</v>
      </c>
      <c r="H18" s="8"/>
      <c r="I18" s="9"/>
    </row>
    <row r="19" spans="2:9" x14ac:dyDescent="0.3">
      <c r="B19" s="7" t="s">
        <v>9</v>
      </c>
      <c r="C19" s="8">
        <f>(C18-C16)/C17 + 1</f>
        <v>4</v>
      </c>
      <c r="D19" s="8">
        <f t="shared" ref="D19" si="5">(D18-D16)/D17 + 1</f>
        <v>6</v>
      </c>
      <c r="E19" s="8">
        <f t="shared" ref="E19" si="6">(E18-E16)/E17 + 1</f>
        <v>1</v>
      </c>
      <c r="F19" s="8">
        <f t="shared" ref="F19" si="7">(F18-F16)/F17 + 1</f>
        <v>17</v>
      </c>
      <c r="G19" s="8">
        <f t="shared" ref="G19" si="8">(G18-G16)/G17 + 1</f>
        <v>19</v>
      </c>
      <c r="H19" s="10">
        <f>PRODUCT(C19:G19) + C19*D19*E19</f>
        <v>7776</v>
      </c>
      <c r="I19" s="9">
        <f>H19/I$5/60</f>
        <v>64.8</v>
      </c>
    </row>
    <row r="20" spans="2:9" x14ac:dyDescent="0.3">
      <c r="B20" s="7"/>
      <c r="C20" s="8"/>
      <c r="D20" s="8"/>
      <c r="E20" s="8"/>
      <c r="F20" s="8"/>
      <c r="G20" s="8"/>
      <c r="H20" s="8"/>
      <c r="I20" s="9"/>
    </row>
    <row r="21" spans="2:9" x14ac:dyDescent="0.3">
      <c r="B21" s="7"/>
      <c r="C21" s="8" t="s">
        <v>12</v>
      </c>
      <c r="D21" s="8"/>
      <c r="E21" s="8"/>
      <c r="F21" s="8"/>
      <c r="G21" s="8"/>
      <c r="H21" s="8"/>
      <c r="I21" s="9"/>
    </row>
    <row r="22" spans="2:9" ht="15.6" x14ac:dyDescent="0.35">
      <c r="B22" s="7"/>
      <c r="C22" s="8">
        <v>385</v>
      </c>
      <c r="D22" s="8">
        <v>5</v>
      </c>
      <c r="E22" s="8"/>
      <c r="F22" s="11" t="s">
        <v>13</v>
      </c>
      <c r="G22" s="8"/>
      <c r="H22" s="8"/>
      <c r="I22" s="9"/>
    </row>
    <row r="23" spans="2:9" x14ac:dyDescent="0.3">
      <c r="B23" s="7"/>
      <c r="C23" s="8">
        <v>810</v>
      </c>
      <c r="D23" s="8">
        <v>25</v>
      </c>
      <c r="E23" s="8"/>
      <c r="F23" s="8"/>
      <c r="G23" s="8"/>
      <c r="H23" s="8"/>
      <c r="I23" s="9"/>
    </row>
    <row r="24" spans="2:9" x14ac:dyDescent="0.3">
      <c r="B24" s="7"/>
      <c r="C24" s="8">
        <v>1244</v>
      </c>
      <c r="D24" s="8">
        <v>45</v>
      </c>
      <c r="E24" s="8"/>
      <c r="F24" s="11"/>
      <c r="G24" s="8"/>
      <c r="H24" s="8"/>
      <c r="I24" s="9"/>
    </row>
    <row r="25" spans="2:9" x14ac:dyDescent="0.3">
      <c r="B25" s="7"/>
      <c r="C25" s="8">
        <v>1646</v>
      </c>
      <c r="D25" s="8">
        <v>60</v>
      </c>
      <c r="E25" s="8"/>
      <c r="F25" s="8"/>
      <c r="G25" s="8"/>
      <c r="H25" s="8"/>
      <c r="I25" s="9"/>
    </row>
    <row r="26" spans="2:9" x14ac:dyDescent="0.3">
      <c r="B26" s="7"/>
      <c r="C26" s="8"/>
      <c r="D26" s="8">
        <v>75</v>
      </c>
      <c r="E26" s="8"/>
      <c r="F26" s="8"/>
      <c r="G26" s="8"/>
      <c r="H26" s="8"/>
      <c r="I26" s="9"/>
    </row>
    <row r="27" spans="2:9" ht="15" thickBot="1" x14ac:dyDescent="0.35">
      <c r="B27" s="12"/>
      <c r="C27" s="13"/>
      <c r="D27" s="13">
        <v>85</v>
      </c>
      <c r="E27" s="13"/>
      <c r="F27" s="13"/>
      <c r="G27" s="13"/>
      <c r="H27" s="13"/>
      <c r="I27" s="1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Krell</dc:creator>
  <cp:lastModifiedBy>Krell, Jacob Patrick - (jacobpkrell)</cp:lastModifiedBy>
  <dcterms:created xsi:type="dcterms:W3CDTF">2015-06-05T18:17:20Z</dcterms:created>
  <dcterms:modified xsi:type="dcterms:W3CDTF">2026-05-20T17:01:52Z</dcterms:modified>
</cp:coreProperties>
</file>