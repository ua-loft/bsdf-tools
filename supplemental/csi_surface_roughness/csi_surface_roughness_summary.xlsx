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jakep\Documents\Optics_local\UofA\bsdf-tools\supplemental\csi_surface_roughness\"/>
    </mc:Choice>
  </mc:AlternateContent>
  <xr:revisionPtr revIDLastSave="0" documentId="13_ncr:1_{9B285842-ED3A-48C3-8E80-124961217A8C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5" i="1"/>
  <c r="F15" i="1"/>
  <c r="F5" i="1"/>
  <c r="E5" i="1"/>
  <c r="P15" i="1"/>
  <c r="P13" i="1"/>
  <c r="P12" i="1"/>
  <c r="P11" i="1"/>
  <c r="P10" i="1"/>
  <c r="P9" i="1"/>
  <c r="P8" i="1"/>
  <c r="P7" i="1"/>
  <c r="P6" i="1"/>
  <c r="P5" i="1"/>
</calcChain>
</file>

<file path=xl/sharedStrings.xml><?xml version="1.0" encoding="utf-8"?>
<sst xmlns="http://schemas.openxmlformats.org/spreadsheetml/2006/main" count="96" uniqueCount="42">
  <si>
    <t>DEEP SPACE BLACK - Full Spectrum Basic</t>
  </si>
  <si>
    <t>Aeroglaze 9924 Primer with Aeroglaze 2307 Black</t>
  </si>
  <si>
    <t>Vacuum Black on Aluminum</t>
  </si>
  <si>
    <t>Vacuum Black on Stainless Steel</t>
  </si>
  <si>
    <t>Singularity Black LT Y1022</t>
  </si>
  <si>
    <t>AnoBlack NiTE w/ Blast on Steel 1008</t>
  </si>
  <si>
    <t>AnoBlack EC1 on Alum 6061</t>
  </si>
  <si>
    <t>AnoBlack EC2 on Alum 6061</t>
  </si>
  <si>
    <t>Sony IMX455 (glass cover removed)</t>
  </si>
  <si>
    <t>Sample</t>
  </si>
  <si>
    <t>PV [μm]</t>
  </si>
  <si>
    <t>RMS [μm]</t>
  </si>
  <si>
    <t>n/a</t>
  </si>
  <si>
    <t>Averages</t>
  </si>
  <si>
    <t>Measurements</t>
  </si>
  <si>
    <t>Magnification</t>
  </si>
  <si>
    <t>50x</t>
  </si>
  <si>
    <t>Measurement Mode</t>
  </si>
  <si>
    <t>CSI-Rough</t>
  </si>
  <si>
    <t>?</t>
  </si>
  <si>
    <t>Z Resolution</t>
  </si>
  <si>
    <t>High</t>
  </si>
  <si>
    <t>Scale Mode</t>
  </si>
  <si>
    <t>Normal</t>
  </si>
  <si>
    <t>Scan Length [μm]</t>
  </si>
  <si>
    <t>1, A1</t>
  </si>
  <si>
    <t>2, A2</t>
  </si>
  <si>
    <t>3, B1</t>
  </si>
  <si>
    <t>B2</t>
  </si>
  <si>
    <t>C3</t>
  </si>
  <si>
    <t>C4</t>
  </si>
  <si>
    <t>*which mount is A,B,C is not recorded; the purpose is just to average across the different mounts.</t>
  </si>
  <si>
    <t>**Vacuum Black on Glass</t>
  </si>
  <si>
    <t>*AnoBlack NiTE on INVAR 36</t>
  </si>
  <si>
    <t>CSI Settings:</t>
  </si>
  <si>
    <t>Measurements:</t>
  </si>
  <si>
    <t>Total Averaged</t>
  </si>
  <si>
    <t>Date Measured</t>
  </si>
  <si>
    <t>Surface Roughness:</t>
  </si>
  <si>
    <t>CSI RESULTS TO BE AVERAGED:</t>
  </si>
  <si>
    <t>SUMMARY:</t>
  </si>
  <si>
    <t>**tried various CSI settings, but none could register a measurement.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</si>
</sst>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0" fillId="0" borderId="1" xfId="0" applyNumberFormat="1" applyBorder="1"/>
    <xf numFmtId="164" fontId="0" fillId="0" borderId="2" xfId="0" applyNumberForma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164" fontId="0" fillId="0" borderId="7" xfId="0" applyNumberFormat="1" applyBorder="1"/>
    <xf numFmtId="164" fontId="0" fillId="0" borderId="9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0" fontId="1" fillId="0" borderId="0" xfId="0" applyFont="1"/>
    <xf numFmtId="164" fontId="0" fillId="0" borderId="0" xfId="0" applyNumberFormat="1"/>
    <xf numFmtId="0" fontId="2" fillId="0" borderId="0" xfId="0" applyFont="1"/>
    <xf numFmtId="164" fontId="0" fillId="0" borderId="8" xfId="0" applyNumberFormat="1" applyBorder="1"/>
    <xf numFmtId="164" fontId="0" fillId="0" borderId="10" xfId="0" applyNumberFormat="1" applyBorder="1"/>
    <xf numFmtId="164" fontId="0" fillId="0" borderId="6" xfId="0" applyNumberForma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0" fillId="2" borderId="0" xfId="0" applyFill="1"/>
    <xf numFmtId="164" fontId="0" fillId="2" borderId="0" xfId="0" applyNumberFormat="1" applyFill="1"/>
    <xf numFmtId="0" fontId="2" fillId="0" borderId="8" xfId="0" applyFont="1" applyBorder="1"/>
    <xf numFmtId="14" fontId="2" fillId="0" borderId="9" xfId="0" applyNumberFormat="1" applyFont="1" applyBorder="1"/>
    <xf numFmtId="0" fontId="2" fillId="0" borderId="10" xfId="0" applyFont="1" applyBorder="1"/>
    <xf numFmtId="14" fontId="2" fillId="0" borderId="12" xfId="0" applyNumberFormat="1" applyFont="1" applyBorder="1"/>
    <xf numFmtId="0" fontId="2" fillId="0" borderId="6" xfId="0" applyFont="1" applyBorder="1"/>
    <xf numFmtId="14" fontId="2" fillId="0" borderId="7" xfId="0" applyNumberFormat="1" applyFont="1" applyBorder="1"/>
    <xf numFmtId="1" fontId="0" fillId="0" borderId="6" xfId="0" applyNumberFormat="1" applyBorder="1"/>
    <xf numFmtId="1" fontId="0" fillId="0" borderId="8" xfId="0" applyNumberFormat="1" applyBorder="1"/>
    <xf numFmtId="1" fontId="0" fillId="0" borderId="10" xfId="0" applyNumberFormat="1" applyBorder="1"/>
    <xf numFmtId="1" fontId="0" fillId="0" borderId="7" xfId="0" applyNumberFormat="1" applyBorder="1"/>
    <xf numFmtId="1" fontId="0" fillId="0" borderId="9" xfId="0" applyNumberFormat="1" applyBorder="1"/>
    <xf numFmtId="1" fontId="0" fillId="0" borderId="12" xfId="0" applyNumberFormat="1" applyBorder="1"/>
    <xf numFmtId="0" fontId="1" fillId="2" borderId="0" xfId="0" applyFont="1" applyFill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1"/>
  <sheetViews>
    <sheetView tabSelected="1" workbookViewId="0">
      <selection activeCell="B19" sqref="B19"/>
    </sheetView>
  </sheetViews>
  <sheetFormatPr defaultRowHeight="14.4" x14ac:dyDescent="0.3"/>
  <cols>
    <col min="2" max="2" width="41.6640625" bestFit="1" customWidth="1"/>
    <col min="3" max="3" width="13.88671875" bestFit="1" customWidth="1"/>
    <col min="4" max="4" width="8.88671875" customWidth="1"/>
    <col min="5" max="5" width="9.44140625" bestFit="1" customWidth="1"/>
    <col min="6" max="6" width="7.88671875" bestFit="1" customWidth="1"/>
    <col min="7" max="7" width="8.88671875" customWidth="1"/>
    <col min="8" max="8" width="15.88671875" bestFit="1" customWidth="1"/>
    <col min="9" max="9" width="12.6640625" bestFit="1" customWidth="1"/>
    <col min="10" max="10" width="18.44140625" bestFit="1" customWidth="1"/>
    <col min="11" max="11" width="11.33203125" bestFit="1" customWidth="1"/>
    <col min="12" max="12" width="10.77734375" bestFit="1" customWidth="1"/>
    <col min="13" max="13" width="8.6640625" bestFit="1" customWidth="1"/>
    <col min="14" max="14" width="8.88671875" customWidth="1"/>
    <col min="15" max="15" width="13.6640625" bestFit="1" customWidth="1"/>
    <col min="16" max="16" width="13.77734375" bestFit="1" customWidth="1"/>
    <col min="17" max="19" width="8.88671875" customWidth="1"/>
    <col min="20" max="21" width="6.5546875" bestFit="1" customWidth="1"/>
    <col min="22" max="25" width="5.5546875" bestFit="1" customWidth="1"/>
    <col min="26" max="27" width="7.5546875" bestFit="1" customWidth="1"/>
    <col min="28" max="31" width="6.5546875" bestFit="1" customWidth="1"/>
    <col min="32" max="32" width="9" bestFit="1" customWidth="1"/>
    <col min="34" max="34" width="18.33203125" customWidth="1"/>
    <col min="35" max="35" width="19.88671875" customWidth="1"/>
  </cols>
  <sheetData>
    <row r="1" spans="2:33" x14ac:dyDescent="0.3">
      <c r="R1" s="19"/>
      <c r="AG1" s="19"/>
    </row>
    <row r="2" spans="2:33" ht="15" thickBot="1" x14ac:dyDescent="0.35">
      <c r="B2" s="10" t="s">
        <v>40</v>
      </c>
      <c r="R2" s="19"/>
      <c r="S2" s="10"/>
      <c r="T2" s="10" t="s">
        <v>39</v>
      </c>
      <c r="AG2" s="19"/>
    </row>
    <row r="3" spans="2:33" ht="15" thickBot="1" x14ac:dyDescent="0.35">
      <c r="B3" s="10"/>
      <c r="C3" s="10"/>
      <c r="D3" s="10"/>
      <c r="E3" s="10" t="s">
        <v>38</v>
      </c>
      <c r="H3" s="10" t="s">
        <v>34</v>
      </c>
      <c r="O3" s="10" t="s">
        <v>35</v>
      </c>
      <c r="R3" s="19"/>
      <c r="T3" s="34" t="s">
        <v>11</v>
      </c>
      <c r="U3" s="35"/>
      <c r="V3" s="35"/>
      <c r="W3" s="35"/>
      <c r="X3" s="35"/>
      <c r="Y3" s="36"/>
      <c r="Z3" s="34" t="s">
        <v>10</v>
      </c>
      <c r="AA3" s="35"/>
      <c r="AB3" s="35"/>
      <c r="AC3" s="35"/>
      <c r="AD3" s="35"/>
      <c r="AE3" s="36"/>
      <c r="AG3" s="33"/>
    </row>
    <row r="4" spans="2:33" ht="14.4" customHeight="1" thickBot="1" x14ac:dyDescent="0.35">
      <c r="B4" s="3" t="s">
        <v>9</v>
      </c>
      <c r="C4" s="5" t="s">
        <v>37</v>
      </c>
      <c r="D4" s="10"/>
      <c r="E4" s="3" t="s">
        <v>11</v>
      </c>
      <c r="F4" s="5" t="s">
        <v>10</v>
      </c>
      <c r="H4" s="3" t="s">
        <v>24</v>
      </c>
      <c r="I4" s="4" t="s">
        <v>15</v>
      </c>
      <c r="J4" s="4" t="s">
        <v>17</v>
      </c>
      <c r="K4" s="4" t="s">
        <v>20</v>
      </c>
      <c r="L4" s="4" t="s">
        <v>22</v>
      </c>
      <c r="M4" s="5" t="s">
        <v>13</v>
      </c>
      <c r="N4" s="10"/>
      <c r="O4" s="3" t="s">
        <v>14</v>
      </c>
      <c r="P4" s="5" t="s">
        <v>36</v>
      </c>
      <c r="Q4" s="10"/>
      <c r="R4" s="19"/>
      <c r="T4" s="16" t="s">
        <v>25</v>
      </c>
      <c r="U4" s="17" t="s">
        <v>26</v>
      </c>
      <c r="V4" s="17" t="s">
        <v>27</v>
      </c>
      <c r="W4" s="17" t="s">
        <v>28</v>
      </c>
      <c r="X4" s="17" t="s">
        <v>29</v>
      </c>
      <c r="Y4" s="18" t="s">
        <v>30</v>
      </c>
      <c r="Z4" s="16" t="s">
        <v>25</v>
      </c>
      <c r="AA4" s="17" t="s">
        <v>26</v>
      </c>
      <c r="AB4" s="17" t="s">
        <v>27</v>
      </c>
      <c r="AC4" s="17" t="s">
        <v>28</v>
      </c>
      <c r="AD4" s="17" t="s">
        <v>29</v>
      </c>
      <c r="AE4" s="18" t="s">
        <v>30</v>
      </c>
      <c r="AG4" s="19"/>
    </row>
    <row r="5" spans="2:33" x14ac:dyDescent="0.3">
      <c r="B5" s="25" t="s">
        <v>1</v>
      </c>
      <c r="C5" s="26">
        <v>46080</v>
      </c>
      <c r="D5" s="12"/>
      <c r="E5" s="15">
        <f t="shared" ref="E5:E13" si="0">AVERAGE(T5:Y5)</f>
        <v>2.0246666666666666</v>
      </c>
      <c r="F5" s="6">
        <f t="shared" ref="F5:F13" si="1">AVERAGE(Z5:AE5)</f>
        <v>13.995333333333333</v>
      </c>
      <c r="G5" s="11"/>
      <c r="H5" s="27">
        <v>20</v>
      </c>
      <c r="I5" s="2" t="s">
        <v>16</v>
      </c>
      <c r="J5" s="2" t="s">
        <v>18</v>
      </c>
      <c r="K5" s="2" t="s">
        <v>21</v>
      </c>
      <c r="L5" s="2" t="s">
        <v>23</v>
      </c>
      <c r="M5" s="30">
        <v>3</v>
      </c>
      <c r="N5" s="11"/>
      <c r="O5" s="27">
        <v>3</v>
      </c>
      <c r="P5" s="30">
        <f t="shared" ref="P5:P7" si="2">M5*O5</f>
        <v>9</v>
      </c>
      <c r="Q5" s="11"/>
      <c r="R5" s="20"/>
      <c r="S5" s="12"/>
      <c r="T5" s="15">
        <v>1.903</v>
      </c>
      <c r="U5" s="2">
        <v>2.0179999999999998</v>
      </c>
      <c r="V5" s="2">
        <v>2.153</v>
      </c>
      <c r="W5" s="2"/>
      <c r="X5" s="2"/>
      <c r="Y5" s="6"/>
      <c r="Z5" s="15">
        <v>13.122</v>
      </c>
      <c r="AA5" s="2">
        <v>14.94</v>
      </c>
      <c r="AB5" s="2">
        <v>13.923999999999999</v>
      </c>
      <c r="AC5" s="2"/>
      <c r="AD5" s="2"/>
      <c r="AE5" s="6"/>
      <c r="AG5" s="19"/>
    </row>
    <row r="6" spans="2:33" x14ac:dyDescent="0.3">
      <c r="B6" s="21" t="s">
        <v>6</v>
      </c>
      <c r="C6" s="22">
        <v>46080</v>
      </c>
      <c r="D6" s="12"/>
      <c r="E6" s="15">
        <f t="shared" si="0"/>
        <v>1.222</v>
      </c>
      <c r="F6" s="6">
        <f t="shared" si="1"/>
        <v>10.475</v>
      </c>
      <c r="G6" s="11"/>
      <c r="H6" s="28">
        <v>20</v>
      </c>
      <c r="I6" s="1" t="s">
        <v>16</v>
      </c>
      <c r="J6" s="1" t="s">
        <v>18</v>
      </c>
      <c r="K6" s="1" t="s">
        <v>21</v>
      </c>
      <c r="L6" s="1" t="s">
        <v>23</v>
      </c>
      <c r="M6" s="31">
        <v>3</v>
      </c>
      <c r="N6" s="11"/>
      <c r="O6" s="28">
        <v>2</v>
      </c>
      <c r="P6" s="31">
        <f t="shared" si="2"/>
        <v>6</v>
      </c>
      <c r="Q6" s="11"/>
      <c r="R6" s="20"/>
      <c r="S6" s="12"/>
      <c r="T6" s="13">
        <v>1.3360000000000001</v>
      </c>
      <c r="U6" s="1">
        <v>1.1080000000000001</v>
      </c>
      <c r="V6" s="1"/>
      <c r="W6" s="1"/>
      <c r="X6" s="1"/>
      <c r="Y6" s="7"/>
      <c r="Z6" s="13">
        <v>11.802</v>
      </c>
      <c r="AA6" s="1">
        <v>9.1479999999999997</v>
      </c>
      <c r="AB6" s="1"/>
      <c r="AC6" s="1"/>
      <c r="AD6" s="1"/>
      <c r="AE6" s="7"/>
      <c r="AG6" s="19"/>
    </row>
    <row r="7" spans="2:33" x14ac:dyDescent="0.3">
      <c r="B7" s="21" t="s">
        <v>7</v>
      </c>
      <c r="C7" s="22">
        <v>46080</v>
      </c>
      <c r="D7" s="12"/>
      <c r="E7" s="15">
        <f t="shared" si="0"/>
        <v>1.6339999999999999</v>
      </c>
      <c r="F7" s="6">
        <f t="shared" si="1"/>
        <v>12.502500000000001</v>
      </c>
      <c r="G7" s="11"/>
      <c r="H7" s="28">
        <v>20</v>
      </c>
      <c r="I7" s="1" t="s">
        <v>16</v>
      </c>
      <c r="J7" s="1" t="s">
        <v>18</v>
      </c>
      <c r="K7" s="1" t="s">
        <v>21</v>
      </c>
      <c r="L7" s="1" t="s">
        <v>23</v>
      </c>
      <c r="M7" s="31">
        <v>3</v>
      </c>
      <c r="N7" s="11"/>
      <c r="O7" s="28">
        <v>2</v>
      </c>
      <c r="P7" s="31">
        <f t="shared" si="2"/>
        <v>6</v>
      </c>
      <c r="Q7" s="11"/>
      <c r="R7" s="20"/>
      <c r="S7" s="12"/>
      <c r="T7" s="13">
        <v>1.9059999999999999</v>
      </c>
      <c r="U7" s="1">
        <v>1.3620000000000001</v>
      </c>
      <c r="V7" s="1"/>
      <c r="W7" s="1"/>
      <c r="X7" s="1"/>
      <c r="Y7" s="7"/>
      <c r="Z7" s="13">
        <v>13.298</v>
      </c>
      <c r="AA7" s="1">
        <v>11.707000000000001</v>
      </c>
      <c r="AB7" s="1"/>
      <c r="AC7" s="1"/>
      <c r="AD7" s="1"/>
      <c r="AE7" s="7"/>
      <c r="AG7" s="19"/>
    </row>
    <row r="8" spans="2:33" x14ac:dyDescent="0.3">
      <c r="B8" s="21" t="s">
        <v>33</v>
      </c>
      <c r="C8" s="22">
        <v>46080</v>
      </c>
      <c r="D8" s="12"/>
      <c r="E8" s="15">
        <f t="shared" si="0"/>
        <v>3.4919999999999995</v>
      </c>
      <c r="F8" s="6">
        <f t="shared" si="1"/>
        <v>23.989833333333333</v>
      </c>
      <c r="G8" s="11"/>
      <c r="H8" s="28">
        <v>40</v>
      </c>
      <c r="I8" s="1" t="s">
        <v>16</v>
      </c>
      <c r="J8" s="1" t="s">
        <v>18</v>
      </c>
      <c r="K8" s="1" t="s">
        <v>21</v>
      </c>
      <c r="L8" s="1" t="s">
        <v>23</v>
      </c>
      <c r="M8" s="31">
        <v>3</v>
      </c>
      <c r="N8" s="11"/>
      <c r="O8" s="28">
        <v>6</v>
      </c>
      <c r="P8" s="31">
        <f>M8*O8</f>
        <v>18</v>
      </c>
      <c r="Q8" s="11"/>
      <c r="R8" s="20"/>
      <c r="S8" s="12"/>
      <c r="T8" s="13">
        <v>3.0870000000000002</v>
      </c>
      <c r="U8" s="1">
        <v>3.6320000000000001</v>
      </c>
      <c r="V8" s="1">
        <v>3.0539999999999998</v>
      </c>
      <c r="W8" s="1">
        <v>3.0750000000000002</v>
      </c>
      <c r="X8" s="1">
        <v>4.101</v>
      </c>
      <c r="Y8" s="7">
        <v>4.0030000000000001</v>
      </c>
      <c r="Z8" s="13">
        <v>25.129000000000001</v>
      </c>
      <c r="AA8" s="1">
        <v>25.713000000000001</v>
      </c>
      <c r="AB8" s="1">
        <v>21.582999999999998</v>
      </c>
      <c r="AC8" s="1">
        <v>22.405000000000001</v>
      </c>
      <c r="AD8" s="1">
        <v>22.207999999999998</v>
      </c>
      <c r="AE8" s="7">
        <v>26.901</v>
      </c>
      <c r="AG8" s="19"/>
    </row>
    <row r="9" spans="2:33" x14ac:dyDescent="0.3">
      <c r="B9" s="21" t="s">
        <v>5</v>
      </c>
      <c r="C9" s="22">
        <v>46080</v>
      </c>
      <c r="D9" s="12"/>
      <c r="E9" s="15">
        <f t="shared" si="0"/>
        <v>1.6526666666666667</v>
      </c>
      <c r="F9" s="6">
        <f t="shared" si="1"/>
        <v>11.513666666666666</v>
      </c>
      <c r="G9" s="11"/>
      <c r="H9" s="28">
        <v>20</v>
      </c>
      <c r="I9" s="1" t="s">
        <v>16</v>
      </c>
      <c r="J9" s="1" t="s">
        <v>18</v>
      </c>
      <c r="K9" s="1" t="s">
        <v>21</v>
      </c>
      <c r="L9" s="1" t="s">
        <v>23</v>
      </c>
      <c r="M9" s="31">
        <v>3</v>
      </c>
      <c r="N9" s="11"/>
      <c r="O9" s="28">
        <v>3</v>
      </c>
      <c r="P9" s="31">
        <f t="shared" ref="P9" si="3">M9*O9</f>
        <v>9</v>
      </c>
      <c r="Q9" s="11"/>
      <c r="R9" s="20"/>
      <c r="S9" s="12"/>
      <c r="T9" s="13">
        <v>1.5529999999999999</v>
      </c>
      <c r="U9" s="1">
        <v>1.6819999999999999</v>
      </c>
      <c r="V9" s="1">
        <v>1.7230000000000001</v>
      </c>
      <c r="W9" s="1"/>
      <c r="X9" s="1"/>
      <c r="Y9" s="7"/>
      <c r="Z9" s="13">
        <v>11.311</v>
      </c>
      <c r="AA9" s="1">
        <v>11.489000000000001</v>
      </c>
      <c r="AB9" s="1">
        <v>11.741</v>
      </c>
      <c r="AC9" s="1"/>
      <c r="AD9" s="1"/>
      <c r="AE9" s="7"/>
      <c r="AG9" s="19"/>
    </row>
    <row r="10" spans="2:33" x14ac:dyDescent="0.3">
      <c r="B10" s="21" t="s">
        <v>0</v>
      </c>
      <c r="C10" s="22">
        <v>46080</v>
      </c>
      <c r="D10" s="12"/>
      <c r="E10" s="15">
        <f t="shared" si="0"/>
        <v>4.4770000000000003</v>
      </c>
      <c r="F10" s="6">
        <f t="shared" si="1"/>
        <v>29.651</v>
      </c>
      <c r="G10" s="11"/>
      <c r="H10" s="28">
        <v>40</v>
      </c>
      <c r="I10" s="1" t="s">
        <v>16</v>
      </c>
      <c r="J10" s="1" t="s">
        <v>18</v>
      </c>
      <c r="K10" s="1" t="s">
        <v>21</v>
      </c>
      <c r="L10" s="1" t="s">
        <v>23</v>
      </c>
      <c r="M10" s="31">
        <v>3</v>
      </c>
      <c r="N10" s="11"/>
      <c r="O10" s="28">
        <v>2</v>
      </c>
      <c r="P10" s="31">
        <f>M10*O10</f>
        <v>6</v>
      </c>
      <c r="Q10" s="11"/>
      <c r="R10" s="20"/>
      <c r="S10" s="12"/>
      <c r="T10" s="13">
        <v>4.2380000000000004</v>
      </c>
      <c r="U10" s="1">
        <v>4.7160000000000002</v>
      </c>
      <c r="V10" s="1"/>
      <c r="W10" s="1"/>
      <c r="X10" s="1"/>
      <c r="Y10" s="7"/>
      <c r="Z10" s="13">
        <v>29.597000000000001</v>
      </c>
      <c r="AA10" s="1">
        <v>29.704999999999998</v>
      </c>
      <c r="AB10" s="1"/>
      <c r="AC10" s="1"/>
      <c r="AD10" s="1"/>
      <c r="AE10" s="7"/>
      <c r="AG10" s="19"/>
    </row>
    <row r="11" spans="2:33" x14ac:dyDescent="0.3">
      <c r="B11" s="21" t="s">
        <v>4</v>
      </c>
      <c r="C11" s="22">
        <v>46080</v>
      </c>
      <c r="D11" s="12"/>
      <c r="E11" s="15">
        <f t="shared" si="0"/>
        <v>16.506999999999998</v>
      </c>
      <c r="F11" s="6">
        <f t="shared" si="1"/>
        <v>115.58199999999999</v>
      </c>
      <c r="G11" s="11"/>
      <c r="H11" s="28">
        <v>145</v>
      </c>
      <c r="I11" s="1" t="s">
        <v>16</v>
      </c>
      <c r="J11" s="1" t="s">
        <v>18</v>
      </c>
      <c r="K11" s="1" t="s">
        <v>21</v>
      </c>
      <c r="L11" s="1" t="s">
        <v>23</v>
      </c>
      <c r="M11" s="31">
        <v>3</v>
      </c>
      <c r="N11" s="11"/>
      <c r="O11" s="28">
        <v>2</v>
      </c>
      <c r="P11" s="31">
        <f t="shared" ref="P11" si="4">M11*O11</f>
        <v>6</v>
      </c>
      <c r="Q11" s="11"/>
      <c r="R11" s="20"/>
      <c r="S11" s="12"/>
      <c r="T11" s="13">
        <v>20.016999999999999</v>
      </c>
      <c r="U11" s="1">
        <v>12.997</v>
      </c>
      <c r="V11" s="1"/>
      <c r="W11" s="1"/>
      <c r="X11" s="1"/>
      <c r="Y11" s="7"/>
      <c r="Z11" s="13">
        <v>129.435</v>
      </c>
      <c r="AA11" s="1">
        <v>101.729</v>
      </c>
      <c r="AB11" s="1"/>
      <c r="AC11" s="1"/>
      <c r="AD11" s="1"/>
      <c r="AE11" s="7"/>
      <c r="AG11" s="19"/>
    </row>
    <row r="12" spans="2:33" x14ac:dyDescent="0.3">
      <c r="B12" s="21" t="s">
        <v>8</v>
      </c>
      <c r="C12" s="22">
        <v>45898</v>
      </c>
      <c r="D12" s="12"/>
      <c r="E12" s="15">
        <f t="shared" si="0"/>
        <v>1.208</v>
      </c>
      <c r="F12" s="6">
        <f t="shared" si="1"/>
        <v>10.303000000000001</v>
      </c>
      <c r="G12" s="11"/>
      <c r="H12" s="28">
        <v>20</v>
      </c>
      <c r="I12" s="1" t="s">
        <v>16</v>
      </c>
      <c r="J12" s="1" t="s">
        <v>19</v>
      </c>
      <c r="K12" s="1" t="s">
        <v>19</v>
      </c>
      <c r="L12" s="1" t="s">
        <v>23</v>
      </c>
      <c r="M12" s="31">
        <v>3</v>
      </c>
      <c r="N12" s="11"/>
      <c r="O12" s="28">
        <v>1</v>
      </c>
      <c r="P12" s="31">
        <f>M12*O12</f>
        <v>3</v>
      </c>
      <c r="Q12" s="11"/>
      <c r="R12" s="20"/>
      <c r="S12" s="12"/>
      <c r="T12" s="13">
        <v>1.208</v>
      </c>
      <c r="U12" s="1"/>
      <c r="V12" s="1"/>
      <c r="W12" s="1"/>
      <c r="X12" s="1"/>
      <c r="Y12" s="7"/>
      <c r="Z12" s="13">
        <v>10.303000000000001</v>
      </c>
      <c r="AA12" s="1"/>
      <c r="AB12" s="1"/>
      <c r="AC12" s="1"/>
      <c r="AD12" s="1"/>
      <c r="AE12" s="7"/>
      <c r="AG12" s="19"/>
    </row>
    <row r="13" spans="2:33" x14ac:dyDescent="0.3">
      <c r="B13" s="21" t="s">
        <v>2</v>
      </c>
      <c r="C13" s="22">
        <v>46080</v>
      </c>
      <c r="D13" s="12"/>
      <c r="E13" s="15">
        <f t="shared" si="0"/>
        <v>1.0649999999999999</v>
      </c>
      <c r="F13" s="6">
        <f t="shared" si="1"/>
        <v>11.181000000000001</v>
      </c>
      <c r="G13" s="11"/>
      <c r="H13" s="28">
        <v>20</v>
      </c>
      <c r="I13" s="1" t="s">
        <v>16</v>
      </c>
      <c r="J13" s="1" t="s">
        <v>18</v>
      </c>
      <c r="K13" s="1" t="s">
        <v>21</v>
      </c>
      <c r="L13" s="1" t="s">
        <v>23</v>
      </c>
      <c r="M13" s="31">
        <v>3</v>
      </c>
      <c r="N13" s="11"/>
      <c r="O13" s="28">
        <v>2</v>
      </c>
      <c r="P13" s="31">
        <f t="shared" ref="P13" si="5">M13*O13</f>
        <v>6</v>
      </c>
      <c r="Q13" s="11"/>
      <c r="R13" s="20"/>
      <c r="S13" s="12"/>
      <c r="T13" s="13">
        <v>1.032</v>
      </c>
      <c r="U13" s="1">
        <v>1.0980000000000001</v>
      </c>
      <c r="V13" s="1"/>
      <c r="W13" s="1"/>
      <c r="X13" s="1"/>
      <c r="Y13" s="7"/>
      <c r="Z13" s="13">
        <v>11.151</v>
      </c>
      <c r="AA13" s="1">
        <v>11.211</v>
      </c>
      <c r="AB13" s="1"/>
      <c r="AC13" s="1"/>
      <c r="AD13" s="1"/>
      <c r="AE13" s="7"/>
      <c r="AG13" s="19"/>
    </row>
    <row r="14" spans="2:33" x14ac:dyDescent="0.3">
      <c r="B14" s="21" t="s">
        <v>32</v>
      </c>
      <c r="C14" s="22">
        <v>46080</v>
      </c>
      <c r="D14" s="12"/>
      <c r="E14" s="15" t="s">
        <v>12</v>
      </c>
      <c r="F14" s="6" t="s">
        <v>12</v>
      </c>
      <c r="G14" s="11"/>
      <c r="H14" s="28" t="s">
        <v>12</v>
      </c>
      <c r="I14" s="1" t="s">
        <v>12</v>
      </c>
      <c r="J14" s="1" t="s">
        <v>12</v>
      </c>
      <c r="K14" s="1" t="s">
        <v>12</v>
      </c>
      <c r="L14" s="1" t="s">
        <v>12</v>
      </c>
      <c r="M14" s="31" t="s">
        <v>12</v>
      </c>
      <c r="N14" s="11"/>
      <c r="O14" s="28" t="s">
        <v>12</v>
      </c>
      <c r="P14" s="31" t="s">
        <v>12</v>
      </c>
      <c r="Q14" s="11"/>
      <c r="R14" s="20"/>
      <c r="S14" s="12"/>
      <c r="T14" s="13" t="s">
        <v>12</v>
      </c>
      <c r="U14" s="1"/>
      <c r="V14" s="1"/>
      <c r="W14" s="1"/>
      <c r="X14" s="1"/>
      <c r="Y14" s="7"/>
      <c r="Z14" s="13" t="s">
        <v>12</v>
      </c>
      <c r="AA14" s="1"/>
      <c r="AB14" s="1"/>
      <c r="AC14" s="1"/>
      <c r="AD14" s="1"/>
      <c r="AE14" s="7"/>
      <c r="AG14" s="19"/>
    </row>
    <row r="15" spans="2:33" ht="15" thickBot="1" x14ac:dyDescent="0.35">
      <c r="B15" s="23" t="s">
        <v>3</v>
      </c>
      <c r="C15" s="24">
        <v>46080</v>
      </c>
      <c r="D15" s="12"/>
      <c r="E15" s="15">
        <f>AVERAGE(T15:Y15)</f>
        <v>0.58400000000000007</v>
      </c>
      <c r="F15" s="6">
        <f>AVERAGE(Z15:AE15)</f>
        <v>6.6984999999999992</v>
      </c>
      <c r="G15" s="11"/>
      <c r="H15" s="29">
        <v>10</v>
      </c>
      <c r="I15" s="8" t="s">
        <v>16</v>
      </c>
      <c r="J15" s="8" t="s">
        <v>18</v>
      </c>
      <c r="K15" s="8" t="s">
        <v>21</v>
      </c>
      <c r="L15" s="8" t="s">
        <v>23</v>
      </c>
      <c r="M15" s="32">
        <v>3</v>
      </c>
      <c r="N15" s="11"/>
      <c r="O15" s="29">
        <v>2</v>
      </c>
      <c r="P15" s="32">
        <f t="shared" ref="P15" si="6">M15*O15</f>
        <v>6</v>
      </c>
      <c r="Q15" s="11"/>
      <c r="R15" s="20"/>
      <c r="S15" s="12"/>
      <c r="T15" s="14">
        <v>0.63100000000000001</v>
      </c>
      <c r="U15" s="8">
        <v>0.53700000000000003</v>
      </c>
      <c r="V15" s="8"/>
      <c r="W15" s="8"/>
      <c r="X15" s="8"/>
      <c r="Y15" s="9"/>
      <c r="Z15" s="14">
        <v>7.1269999999999998</v>
      </c>
      <c r="AA15" s="8">
        <v>6.27</v>
      </c>
      <c r="AB15" s="8"/>
      <c r="AC15" s="8"/>
      <c r="AD15" s="8"/>
      <c r="AE15" s="9"/>
      <c r="AG15" s="19"/>
    </row>
    <row r="16" spans="2:33" x14ac:dyDescent="0.3">
      <c r="B16" s="12"/>
      <c r="C16" s="12"/>
      <c r="D16" s="12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20"/>
      <c r="S16" s="12"/>
      <c r="AG16" s="19"/>
    </row>
    <row r="17" spans="1:33" x14ac:dyDescent="0.3">
      <c r="B17" t="s">
        <v>31</v>
      </c>
      <c r="N17" s="10"/>
      <c r="R17" s="19"/>
      <c r="AG17" s="19"/>
    </row>
    <row r="18" spans="1:33" x14ac:dyDescent="0.3">
      <c r="B18" s="12" t="s">
        <v>41</v>
      </c>
      <c r="C18" s="12"/>
      <c r="D18" s="12"/>
      <c r="R18" s="19"/>
      <c r="AG18" s="19"/>
    </row>
    <row r="19" spans="1:33" x14ac:dyDescent="0.3">
      <c r="R19" s="19"/>
      <c r="AG19" s="19"/>
    </row>
    <row r="20" spans="1:33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spans="1:33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</row>
  </sheetData>
  <mergeCells count="2">
    <mergeCell ref="Z3:AE3"/>
    <mergeCell ref="T3:Y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Krell</dc:creator>
  <cp:lastModifiedBy>Krell, Jacob Patrick - (jacobpkrell)</cp:lastModifiedBy>
  <dcterms:created xsi:type="dcterms:W3CDTF">2015-06-05T18:17:20Z</dcterms:created>
  <dcterms:modified xsi:type="dcterms:W3CDTF">2026-08-04T17:12:12Z</dcterms:modified>
</cp:coreProperties>
</file>