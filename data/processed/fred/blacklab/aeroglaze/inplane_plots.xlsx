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p\Documents\Optics_local\UofA\bsdf-tools\data\processed\fred\blacklab\aeroglaze\"/>
    </mc:Choice>
  </mc:AlternateContent>
  <xr:revisionPtr revIDLastSave="0" documentId="13_ncr:1_{B01802F2-0161-4BCB-84BA-DAF52ED084C2}" xr6:coauthVersionLast="47" xr6:coauthVersionMax="47" xr10:uidLastSave="{00000000-0000-0000-0000-000000000000}"/>
  <bookViews>
    <workbookView xWindow="-108" yWindow="-108" windowWidth="23256" windowHeight="13896" xr2:uid="{75D13B3B-B2D0-44F7-AE1C-95D2F708A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0" i="1"/>
  <c r="G40" i="1"/>
  <c r="G41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0" i="1"/>
</calcChain>
</file>

<file path=xl/sharedStrings.xml><?xml version="1.0" encoding="utf-8"?>
<sst xmlns="http://schemas.openxmlformats.org/spreadsheetml/2006/main" count="6" uniqueCount="6">
  <si>
    <t>type bsdf_data</t>
  </si>
  <si>
    <t>format angles=deg bsdf=value scale=1</t>
  </si>
  <si>
    <t>FRED data for Aeroglaze validation test. (file: "aeroglaze_20260608_vnir_validation_test_630o79nm.txt")</t>
  </si>
  <si>
    <t>Scatter Polar:</t>
  </si>
  <si>
    <t>Adjusted BRDF:</t>
  </si>
  <si>
    <t>Factor (for debugging):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</si>
</sst>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Blacklab validation</a:t>
            </a:r>
            <a:r>
              <a:rPr lang="en-US" baseline="0"/>
              <a:t> of in-plane Aeroglaze at 631nm (2026/06/08)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AOI_10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Sheet1!$G$10:$G$41</c:f>
              <c:numCache>
                <c:formatCode>General</c:formatCode>
                <c:ptCount val="3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-20</c:v>
                </c:pt>
                <c:pt idx="6">
                  <c:v>25</c:v>
                </c:pt>
                <c:pt idx="7">
                  <c:v>-25</c:v>
                </c:pt>
                <c:pt idx="8">
                  <c:v>30</c:v>
                </c:pt>
                <c:pt idx="9">
                  <c:v>-30</c:v>
                </c:pt>
                <c:pt idx="10">
                  <c:v>35</c:v>
                </c:pt>
                <c:pt idx="11">
                  <c:v>-35</c:v>
                </c:pt>
                <c:pt idx="12">
                  <c:v>40</c:v>
                </c:pt>
                <c:pt idx="13">
                  <c:v>-40</c:v>
                </c:pt>
                <c:pt idx="14">
                  <c:v>45</c:v>
                </c:pt>
                <c:pt idx="15">
                  <c:v>-45</c:v>
                </c:pt>
                <c:pt idx="16">
                  <c:v>50</c:v>
                </c:pt>
                <c:pt idx="17">
                  <c:v>-50</c:v>
                </c:pt>
                <c:pt idx="18">
                  <c:v>55</c:v>
                </c:pt>
                <c:pt idx="19">
                  <c:v>-55</c:v>
                </c:pt>
                <c:pt idx="20">
                  <c:v>60</c:v>
                </c:pt>
                <c:pt idx="21">
                  <c:v>-60</c:v>
                </c:pt>
                <c:pt idx="22">
                  <c:v>65</c:v>
                </c:pt>
                <c:pt idx="23">
                  <c:v>-65</c:v>
                </c:pt>
                <c:pt idx="24">
                  <c:v>70</c:v>
                </c:pt>
                <c:pt idx="25">
                  <c:v>-70</c:v>
                </c:pt>
                <c:pt idx="26">
                  <c:v>75</c:v>
                </c:pt>
                <c:pt idx="27">
                  <c:v>-75</c:v>
                </c:pt>
                <c:pt idx="28">
                  <c:v>80</c:v>
                </c:pt>
                <c:pt idx="29">
                  <c:v>-80</c:v>
                </c:pt>
                <c:pt idx="30">
                  <c:v>85</c:v>
                </c:pt>
                <c:pt idx="31">
                  <c:v>-85</c:v>
                </c:pt>
              </c:numCache>
            </c:numRef>
          </c:xVal>
          <c:yVal>
            <c:numRef>
              <c:f>Sheet1!$I$10:$I$41</c:f>
              <c:numCache>
                <c:formatCode>General</c:formatCode>
                <c:ptCount val="32"/>
                <c:pt idx="0">
                  <c:v>9.3229999999999997E-3</c:v>
                </c:pt>
                <c:pt idx="1">
                  <c:v>9.1459999999999996E-3</c:v>
                </c:pt>
                <c:pt idx="2">
                  <c:v>9.0399999999999994E-3</c:v>
                </c:pt>
                <c:pt idx="3">
                  <c:v>8.9259999999999999E-3</c:v>
                </c:pt>
                <c:pt idx="4">
                  <c:v>8.8940000000000009E-3</c:v>
                </c:pt>
                <c:pt idx="5">
                  <c:v>9.2420000000000002E-3</c:v>
                </c:pt>
                <c:pt idx="6">
                  <c:v>8.8999999999999999E-3</c:v>
                </c:pt>
                <c:pt idx="7">
                  <c:v>9.0930000000000004E-3</c:v>
                </c:pt>
                <c:pt idx="8">
                  <c:v>8.8610000000000008E-3</c:v>
                </c:pt>
                <c:pt idx="9">
                  <c:v>8.8999999999999999E-3</c:v>
                </c:pt>
                <c:pt idx="10">
                  <c:v>8.8470000000000007E-3</c:v>
                </c:pt>
                <c:pt idx="11">
                  <c:v>8.7729999999999995E-3</c:v>
                </c:pt>
                <c:pt idx="12">
                  <c:v>8.9020000000000002E-3</c:v>
                </c:pt>
                <c:pt idx="13">
                  <c:v>8.6879999999999995E-3</c:v>
                </c:pt>
                <c:pt idx="14">
                  <c:v>9.0150000000000004E-3</c:v>
                </c:pt>
                <c:pt idx="15">
                  <c:v>8.6199999999999992E-3</c:v>
                </c:pt>
                <c:pt idx="16">
                  <c:v>9.1730000000000006E-3</c:v>
                </c:pt>
                <c:pt idx="17">
                  <c:v>8.5649999999999997E-3</c:v>
                </c:pt>
                <c:pt idx="18">
                  <c:v>9.3570000000000007E-3</c:v>
                </c:pt>
                <c:pt idx="19">
                  <c:v>8.5579999999999996E-3</c:v>
                </c:pt>
                <c:pt idx="20">
                  <c:v>9.6259999999999991E-3</c:v>
                </c:pt>
                <c:pt idx="21">
                  <c:v>8.5500000000000003E-3</c:v>
                </c:pt>
                <c:pt idx="22">
                  <c:v>9.9439999999999997E-3</c:v>
                </c:pt>
                <c:pt idx="23">
                  <c:v>8.5690000000000002E-3</c:v>
                </c:pt>
                <c:pt idx="24">
                  <c:v>1.0333E-2</c:v>
                </c:pt>
                <c:pt idx="25">
                  <c:v>8.5609999999999992E-3</c:v>
                </c:pt>
                <c:pt idx="26">
                  <c:v>1.0685999999999999E-2</c:v>
                </c:pt>
                <c:pt idx="27">
                  <c:v>8.5129999999999997E-3</c:v>
                </c:pt>
                <c:pt idx="28">
                  <c:v>1.07E-4</c:v>
                </c:pt>
                <c:pt idx="29">
                  <c:v>5.1999999999999997E-5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E-4CA7-9FF5-8EEA6598C044}"/>
            </c:ext>
          </c:extLst>
        </c:ser>
        <c:ser>
          <c:idx val="1"/>
          <c:order val="1"/>
          <c:tx>
            <c:v>AOI_30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Sheet1!$G$43:$G$74</c:f>
              <c:numCache>
                <c:formatCode>General</c:formatCode>
                <c:ptCount val="32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  <c:pt idx="13">
                  <c:v>-40</c:v>
                </c:pt>
                <c:pt idx="14">
                  <c:v>45</c:v>
                </c:pt>
                <c:pt idx="15">
                  <c:v>-45</c:v>
                </c:pt>
                <c:pt idx="16">
                  <c:v>50</c:v>
                </c:pt>
                <c:pt idx="17">
                  <c:v>-50</c:v>
                </c:pt>
                <c:pt idx="18">
                  <c:v>55</c:v>
                </c:pt>
                <c:pt idx="19">
                  <c:v>-55</c:v>
                </c:pt>
                <c:pt idx="20">
                  <c:v>60</c:v>
                </c:pt>
                <c:pt idx="21">
                  <c:v>-60</c:v>
                </c:pt>
                <c:pt idx="22">
                  <c:v>65</c:v>
                </c:pt>
                <c:pt idx="23">
                  <c:v>-65</c:v>
                </c:pt>
                <c:pt idx="24">
                  <c:v>70</c:v>
                </c:pt>
                <c:pt idx="25">
                  <c:v>-70</c:v>
                </c:pt>
                <c:pt idx="26">
                  <c:v>75</c:v>
                </c:pt>
                <c:pt idx="27">
                  <c:v>-75</c:v>
                </c:pt>
                <c:pt idx="28">
                  <c:v>80</c:v>
                </c:pt>
                <c:pt idx="29">
                  <c:v>-80</c:v>
                </c:pt>
                <c:pt idx="30">
                  <c:v>85</c:v>
                </c:pt>
                <c:pt idx="31">
                  <c:v>-85</c:v>
                </c:pt>
              </c:numCache>
            </c:numRef>
          </c:xVal>
          <c:yVal>
            <c:numRef>
              <c:f>Sheet1!$I$43:$I$74</c:f>
              <c:numCache>
                <c:formatCode>General</c:formatCode>
                <c:ptCount val="32"/>
                <c:pt idx="0">
                  <c:v>8.7749999999999998E-3</c:v>
                </c:pt>
                <c:pt idx="1">
                  <c:v>8.7939999999999997E-3</c:v>
                </c:pt>
                <c:pt idx="2">
                  <c:v>8.8299999999999993E-3</c:v>
                </c:pt>
                <c:pt idx="3">
                  <c:v>8.8489999999999992E-3</c:v>
                </c:pt>
                <c:pt idx="4">
                  <c:v>8.8920000000000006E-3</c:v>
                </c:pt>
                <c:pt idx="5">
                  <c:v>8.9239999999999996E-3</c:v>
                </c:pt>
                <c:pt idx="6">
                  <c:v>9.0449999999999992E-3</c:v>
                </c:pt>
                <c:pt idx="7">
                  <c:v>9.0709999999999992E-3</c:v>
                </c:pt>
                <c:pt idx="8">
                  <c:v>9.2619999999999994E-3</c:v>
                </c:pt>
                <c:pt idx="9">
                  <c:v>9.2519999999999998E-3</c:v>
                </c:pt>
                <c:pt idx="10">
                  <c:v>9.4380000000000002E-3</c:v>
                </c:pt>
                <c:pt idx="11">
                  <c:v>9.7680000000000006E-3</c:v>
                </c:pt>
                <c:pt idx="12">
                  <c:v>1.0239E-2</c:v>
                </c:pt>
                <c:pt idx="13">
                  <c:v>9.4000000000000004E-3</c:v>
                </c:pt>
                <c:pt idx="14">
                  <c:v>1.0781000000000001E-2</c:v>
                </c:pt>
                <c:pt idx="15">
                  <c:v>9.195E-3</c:v>
                </c:pt>
                <c:pt idx="16">
                  <c:v>1.1448E-2</c:v>
                </c:pt>
                <c:pt idx="17">
                  <c:v>9.0200000000000002E-3</c:v>
                </c:pt>
                <c:pt idx="18">
                  <c:v>1.2302E-2</c:v>
                </c:pt>
                <c:pt idx="19">
                  <c:v>8.9180000000000006E-3</c:v>
                </c:pt>
                <c:pt idx="20">
                  <c:v>1.3421000000000001E-2</c:v>
                </c:pt>
                <c:pt idx="21">
                  <c:v>8.7760000000000008E-3</c:v>
                </c:pt>
                <c:pt idx="22">
                  <c:v>1.4867E-2</c:v>
                </c:pt>
                <c:pt idx="23">
                  <c:v>8.6580000000000008E-3</c:v>
                </c:pt>
                <c:pt idx="24">
                  <c:v>1.6684999999999998E-2</c:v>
                </c:pt>
                <c:pt idx="25">
                  <c:v>8.5109999999999995E-3</c:v>
                </c:pt>
                <c:pt idx="26">
                  <c:v>1.8807000000000001E-2</c:v>
                </c:pt>
                <c:pt idx="27">
                  <c:v>8.3169999999999997E-3</c:v>
                </c:pt>
                <c:pt idx="28">
                  <c:v>3.48E-4</c:v>
                </c:pt>
                <c:pt idx="29">
                  <c:v>5.1E-5</c:v>
                </c:pt>
                <c:pt idx="30">
                  <c:v>9.9999999999999995E-7</c:v>
                </c:pt>
                <c:pt idx="31">
                  <c:v>9.9999999999999995E-7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CE-4CA7-9FF5-8EEA6598C044}"/>
            </c:ext>
          </c:extLst>
        </c:ser>
        <c:ser>
          <c:idx val="2"/>
          <c:order val="2"/>
          <c:tx>
            <c:v>AOI_50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Sheet1!$G$76:$G$107</c:f>
              <c:numCache>
                <c:formatCode>General</c:formatCode>
                <c:ptCount val="32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50</c:v>
                </c:pt>
                <c:pt idx="19">
                  <c:v>55</c:v>
                </c:pt>
                <c:pt idx="20">
                  <c:v>60</c:v>
                </c:pt>
                <c:pt idx="21">
                  <c:v>-60</c:v>
                </c:pt>
                <c:pt idx="22">
                  <c:v>65</c:v>
                </c:pt>
                <c:pt idx="23">
                  <c:v>-65</c:v>
                </c:pt>
                <c:pt idx="24">
                  <c:v>70</c:v>
                </c:pt>
                <c:pt idx="25">
                  <c:v>-70</c:v>
                </c:pt>
                <c:pt idx="26">
                  <c:v>75</c:v>
                </c:pt>
                <c:pt idx="27">
                  <c:v>-75</c:v>
                </c:pt>
                <c:pt idx="28">
                  <c:v>80</c:v>
                </c:pt>
                <c:pt idx="29">
                  <c:v>-80</c:v>
                </c:pt>
                <c:pt idx="30">
                  <c:v>85</c:v>
                </c:pt>
                <c:pt idx="31">
                  <c:v>-85</c:v>
                </c:pt>
              </c:numCache>
            </c:numRef>
          </c:xVal>
          <c:yVal>
            <c:numRef>
              <c:f>Sheet1!$I$76:$I$107</c:f>
              <c:numCache>
                <c:formatCode>General</c:formatCode>
                <c:ptCount val="32"/>
                <c:pt idx="0">
                  <c:v>8.7379999999999992E-3</c:v>
                </c:pt>
                <c:pt idx="1">
                  <c:v>8.8979999999999997E-3</c:v>
                </c:pt>
                <c:pt idx="2">
                  <c:v>8.6269999999999993E-3</c:v>
                </c:pt>
                <c:pt idx="3">
                  <c:v>9.1710000000000003E-3</c:v>
                </c:pt>
                <c:pt idx="4">
                  <c:v>8.5540000000000008E-3</c:v>
                </c:pt>
                <c:pt idx="5">
                  <c:v>9.5350000000000001E-3</c:v>
                </c:pt>
                <c:pt idx="6">
                  <c:v>8.5880000000000001E-3</c:v>
                </c:pt>
                <c:pt idx="7">
                  <c:v>9.9830000000000006E-3</c:v>
                </c:pt>
                <c:pt idx="8">
                  <c:v>8.6820000000000005E-3</c:v>
                </c:pt>
                <c:pt idx="9">
                  <c:v>1.0557E-2</c:v>
                </c:pt>
                <c:pt idx="10">
                  <c:v>8.8109999999999994E-3</c:v>
                </c:pt>
                <c:pt idx="11">
                  <c:v>1.1448E-2</c:v>
                </c:pt>
                <c:pt idx="12">
                  <c:v>9.0449999999999992E-3</c:v>
                </c:pt>
                <c:pt idx="13">
                  <c:v>1.2596E-2</c:v>
                </c:pt>
                <c:pt idx="14">
                  <c:v>9.3810000000000004E-3</c:v>
                </c:pt>
                <c:pt idx="15">
                  <c:v>1.4033E-2</c:v>
                </c:pt>
                <c:pt idx="16">
                  <c:v>9.8049999999999995E-3</c:v>
                </c:pt>
                <c:pt idx="17">
                  <c:v>1.6039000000000001E-2</c:v>
                </c:pt>
                <c:pt idx="18">
                  <c:v>1.8693999999999999E-2</c:v>
                </c:pt>
                <c:pt idx="19">
                  <c:v>2.2370999999999999E-2</c:v>
                </c:pt>
                <c:pt idx="20">
                  <c:v>2.7507E-2</c:v>
                </c:pt>
                <c:pt idx="21">
                  <c:v>1.0638999999999999E-2</c:v>
                </c:pt>
                <c:pt idx="22">
                  <c:v>3.4832000000000002E-2</c:v>
                </c:pt>
                <c:pt idx="23">
                  <c:v>1.0411999999999999E-2</c:v>
                </c:pt>
                <c:pt idx="24">
                  <c:v>4.5037000000000001E-2</c:v>
                </c:pt>
                <c:pt idx="25">
                  <c:v>1.0155000000000001E-2</c:v>
                </c:pt>
                <c:pt idx="26">
                  <c:v>5.8821999999999999E-2</c:v>
                </c:pt>
                <c:pt idx="27">
                  <c:v>9.8189999999999996E-3</c:v>
                </c:pt>
                <c:pt idx="28">
                  <c:v>1.673E-3</c:v>
                </c:pt>
                <c:pt idx="29">
                  <c:v>6.0000000000000002E-5</c:v>
                </c:pt>
                <c:pt idx="30">
                  <c:v>0</c:v>
                </c:pt>
                <c:pt idx="31">
                  <c:v>1.9999999999999999E-6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CE-4CA7-9FF5-8EEA6598C044}"/>
            </c:ext>
          </c:extLst>
        </c:ser>
        <c:ser>
          <c:idx val="3"/>
          <c:order val="3"/>
          <c:tx>
            <c:v>AOI_70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Sheet1!$G$109:$G$140</c:f>
              <c:numCache>
                <c:formatCode>General</c:formatCode>
                <c:ptCount val="32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70</c:v>
                </c:pt>
                <c:pt idx="27">
                  <c:v>75</c:v>
                </c:pt>
                <c:pt idx="28">
                  <c:v>80</c:v>
                </c:pt>
                <c:pt idx="29">
                  <c:v>-80</c:v>
                </c:pt>
                <c:pt idx="30">
                  <c:v>85</c:v>
                </c:pt>
                <c:pt idx="31">
                  <c:v>-85</c:v>
                </c:pt>
              </c:numCache>
            </c:numRef>
          </c:xVal>
          <c:yVal>
            <c:numRef>
              <c:f>Sheet1!$I$109:$I$140</c:f>
              <c:numCache>
                <c:formatCode>General</c:formatCode>
                <c:ptCount val="32"/>
                <c:pt idx="0">
                  <c:v>9.1909999999999995E-3</c:v>
                </c:pt>
                <c:pt idx="1">
                  <c:v>9.672E-3</c:v>
                </c:pt>
                <c:pt idx="2">
                  <c:v>8.8760000000000002E-3</c:v>
                </c:pt>
                <c:pt idx="3">
                  <c:v>1.0392999999999999E-2</c:v>
                </c:pt>
                <c:pt idx="4">
                  <c:v>8.6309999999999998E-3</c:v>
                </c:pt>
                <c:pt idx="5">
                  <c:v>1.1287999999999999E-2</c:v>
                </c:pt>
                <c:pt idx="6">
                  <c:v>8.4860000000000005E-3</c:v>
                </c:pt>
                <c:pt idx="7">
                  <c:v>1.2581999999999999E-2</c:v>
                </c:pt>
                <c:pt idx="8">
                  <c:v>8.4489999999999999E-3</c:v>
                </c:pt>
                <c:pt idx="9">
                  <c:v>1.4354E-2</c:v>
                </c:pt>
                <c:pt idx="10">
                  <c:v>8.4790000000000004E-3</c:v>
                </c:pt>
                <c:pt idx="11">
                  <c:v>1.6806000000000001E-2</c:v>
                </c:pt>
                <c:pt idx="12">
                  <c:v>8.5970000000000005E-3</c:v>
                </c:pt>
                <c:pt idx="13">
                  <c:v>2.0315E-2</c:v>
                </c:pt>
                <c:pt idx="14">
                  <c:v>8.8319999999999996E-3</c:v>
                </c:pt>
                <c:pt idx="15">
                  <c:v>2.5502E-2</c:v>
                </c:pt>
                <c:pt idx="16">
                  <c:v>9.1660000000000005E-3</c:v>
                </c:pt>
                <c:pt idx="17">
                  <c:v>3.3250000000000002E-2</c:v>
                </c:pt>
                <c:pt idx="18">
                  <c:v>9.672E-3</c:v>
                </c:pt>
                <c:pt idx="19">
                  <c:v>4.5199000000000003E-2</c:v>
                </c:pt>
                <c:pt idx="20">
                  <c:v>1.0343E-2</c:v>
                </c:pt>
                <c:pt idx="21">
                  <c:v>6.5110000000000001E-2</c:v>
                </c:pt>
                <c:pt idx="22">
                  <c:v>1.1328E-2</c:v>
                </c:pt>
                <c:pt idx="23">
                  <c:v>9.8334000000000005E-2</c:v>
                </c:pt>
                <c:pt idx="24">
                  <c:v>1.2389000000000001E-2</c:v>
                </c:pt>
                <c:pt idx="25">
                  <c:v>0.15698899999999999</c:v>
                </c:pt>
                <c:pt idx="26">
                  <c:v>0.26776299999999997</c:v>
                </c:pt>
                <c:pt idx="27">
                  <c:v>0.48294599999999999</c:v>
                </c:pt>
                <c:pt idx="28">
                  <c:v>1.1512819999999999</c:v>
                </c:pt>
                <c:pt idx="29">
                  <c:v>1.25E-4</c:v>
                </c:pt>
                <c:pt idx="30">
                  <c:v>5.1E-5</c:v>
                </c:pt>
                <c:pt idx="31">
                  <c:v>0.52665399999999996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CE-4CA7-9FF5-8EEA6598C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165839"/>
        <c:axId val="1029164399"/>
      </c:scatterChart>
      <c:valAx>
        <c:axId val="102916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In-plane</a:t>
                </a:r>
                <a:r>
                  <a:rPr lang="en-US" baseline="0"/>
                  <a:t> scatter polar angle [deg]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64399"/>
        <c:crosses val="autoZero"/>
        <c:crossBetween val="midCat"/>
      </c:valAx>
      <c:valAx>
        <c:axId val="1029164399"/>
        <c:scaling>
          <c:orientation val="minMax"/>
          <c:max val="1.6000000000000004E-2"/>
          <c:min val="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65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28460</xdr:colOff>
      <xdr:row>7</xdr:row>
      <xdr:rowOff>23183</xdr:rowOff>
    </xdr:from>
    <xdr:to>
      <xdr:col>24</xdr:col>
      <xdr:colOff>573428</xdr:colOff>
      <xdr:row>31</xdr:row>
      <xdr:rowOff>164887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4EBC90-4A87-13FF-5CEC-F383CAB40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4AE2-B570-442F-883A-CED1B571391E}">
  <dimension ref="B2:I140"/>
  <sheetViews>
    <sheetView tabSelected="1" zoomScale="83" workbookViewId="0">
      <selection activeCell="I6" sqref="I6"/>
    </sheetView>
  </sheetViews>
  <sheetFormatPr defaultRowHeight="14.4" x14ac:dyDescent="0.3"/>
  <sheetData>
    <row r="2" spans="2:9" x14ac:dyDescent="0.3">
      <c r="B2" t="s">
        <v>2</v>
      </c>
    </row>
    <row r="3" spans="2:9" ht="15" thickBot="1" x14ac:dyDescent="0.35"/>
    <row r="4" spans="2:9" x14ac:dyDescent="0.3">
      <c r="B4" s="1" t="s">
        <v>0</v>
      </c>
      <c r="C4" s="2"/>
      <c r="D4" s="3"/>
    </row>
    <row r="5" spans="2:9" x14ac:dyDescent="0.3">
      <c r="B5" s="4" t="s">
        <v>1</v>
      </c>
      <c r="C5" s="5"/>
      <c r="D5" s="6"/>
      <c r="G5" t="s">
        <v>3</v>
      </c>
      <c r="H5" t="s">
        <v>5</v>
      </c>
      <c r="I5" t="s">
        <v>4</v>
      </c>
    </row>
    <row r="6" spans="2:9" x14ac:dyDescent="0.3">
      <c r="B6" s="4">
        <v>0</v>
      </c>
      <c r="C6" s="5">
        <v>0</v>
      </c>
      <c r="D6" s="6"/>
    </row>
    <row r="7" spans="2:9" x14ac:dyDescent="0.3">
      <c r="B7" s="4">
        <v>0</v>
      </c>
      <c r="C7" s="5">
        <v>180</v>
      </c>
      <c r="D7" s="6">
        <v>1.0000000000000001E-5</v>
      </c>
    </row>
    <row r="8" spans="2:9" x14ac:dyDescent="0.3">
      <c r="B8" s="4">
        <v>45</v>
      </c>
      <c r="C8" s="5">
        <v>180</v>
      </c>
      <c r="D8" s="6">
        <v>8.6859999999999993E-3</v>
      </c>
    </row>
    <row r="9" spans="2:9" x14ac:dyDescent="0.3">
      <c r="B9" s="4">
        <v>10</v>
      </c>
      <c r="C9" s="5">
        <v>0</v>
      </c>
      <c r="D9" s="6"/>
    </row>
    <row r="10" spans="2:9" x14ac:dyDescent="0.3">
      <c r="B10" s="4">
        <v>0</v>
      </c>
      <c r="C10" s="5">
        <v>180</v>
      </c>
      <c r="D10" s="6">
        <v>9.3229999999999997E-3</v>
      </c>
      <c r="G10">
        <f t="shared" ref="G10:G73" si="0">IF(C10=0, B10, IF(C10=180, -B10, 270))</f>
        <v>0</v>
      </c>
      <c r="H10">
        <v>1</v>
      </c>
      <c r="I10">
        <f>D10*H10</f>
        <v>9.3229999999999997E-3</v>
      </c>
    </row>
    <row r="11" spans="2:9" x14ac:dyDescent="0.3">
      <c r="B11" s="4">
        <v>5</v>
      </c>
      <c r="C11" s="5">
        <v>0</v>
      </c>
      <c r="D11" s="6">
        <v>9.1459999999999996E-3</v>
      </c>
      <c r="G11">
        <f t="shared" si="0"/>
        <v>5</v>
      </c>
      <c r="H11">
        <v>1</v>
      </c>
      <c r="I11">
        <f t="shared" ref="I11:I74" si="1">D11*H11</f>
        <v>9.1459999999999996E-3</v>
      </c>
    </row>
    <row r="12" spans="2:9" x14ac:dyDescent="0.3">
      <c r="B12" s="4">
        <v>10</v>
      </c>
      <c r="C12" s="5">
        <v>0</v>
      </c>
      <c r="D12" s="6">
        <v>9.0399999999999994E-3</v>
      </c>
      <c r="G12">
        <f t="shared" si="0"/>
        <v>10</v>
      </c>
      <c r="H12">
        <v>1</v>
      </c>
      <c r="I12">
        <f t="shared" si="1"/>
        <v>9.0399999999999994E-3</v>
      </c>
    </row>
    <row r="13" spans="2:9" x14ac:dyDescent="0.3">
      <c r="B13" s="4">
        <v>15</v>
      </c>
      <c r="C13" s="5">
        <v>0</v>
      </c>
      <c r="D13" s="6">
        <v>8.9259999999999999E-3</v>
      </c>
      <c r="G13">
        <f t="shared" si="0"/>
        <v>15</v>
      </c>
      <c r="H13">
        <v>1</v>
      </c>
      <c r="I13">
        <f t="shared" si="1"/>
        <v>8.9259999999999999E-3</v>
      </c>
    </row>
    <row r="14" spans="2:9" x14ac:dyDescent="0.3">
      <c r="B14" s="4">
        <v>20</v>
      </c>
      <c r="C14" s="5">
        <v>0</v>
      </c>
      <c r="D14" s="6">
        <v>8.8940000000000009E-3</v>
      </c>
      <c r="G14">
        <f t="shared" si="0"/>
        <v>20</v>
      </c>
      <c r="H14">
        <v>1</v>
      </c>
      <c r="I14">
        <f t="shared" si="1"/>
        <v>8.8940000000000009E-3</v>
      </c>
    </row>
    <row r="15" spans="2:9" x14ac:dyDescent="0.3">
      <c r="B15" s="4">
        <v>20</v>
      </c>
      <c r="C15" s="5">
        <v>180</v>
      </c>
      <c r="D15" s="6">
        <v>9.2420000000000002E-3</v>
      </c>
      <c r="G15">
        <f t="shared" si="0"/>
        <v>-20</v>
      </c>
      <c r="H15">
        <v>1</v>
      </c>
      <c r="I15">
        <f t="shared" si="1"/>
        <v>9.2420000000000002E-3</v>
      </c>
    </row>
    <row r="16" spans="2:9" x14ac:dyDescent="0.3">
      <c r="B16" s="4">
        <v>25</v>
      </c>
      <c r="C16" s="5">
        <v>0</v>
      </c>
      <c r="D16" s="6">
        <v>8.8999999999999999E-3</v>
      </c>
      <c r="G16">
        <f t="shared" si="0"/>
        <v>25</v>
      </c>
      <c r="H16">
        <v>1</v>
      </c>
      <c r="I16">
        <f t="shared" si="1"/>
        <v>8.8999999999999999E-3</v>
      </c>
    </row>
    <row r="17" spans="2:9" x14ac:dyDescent="0.3">
      <c r="B17" s="4">
        <v>25</v>
      </c>
      <c r="C17" s="5">
        <v>180</v>
      </c>
      <c r="D17" s="6">
        <v>9.0930000000000004E-3</v>
      </c>
      <c r="G17">
        <f t="shared" si="0"/>
        <v>-25</v>
      </c>
      <c r="H17">
        <v>1</v>
      </c>
      <c r="I17">
        <f t="shared" si="1"/>
        <v>9.0930000000000004E-3</v>
      </c>
    </row>
    <row r="18" spans="2:9" x14ac:dyDescent="0.3">
      <c r="B18" s="4">
        <v>30</v>
      </c>
      <c r="C18" s="5">
        <v>0</v>
      </c>
      <c r="D18" s="6">
        <v>8.8610000000000008E-3</v>
      </c>
      <c r="G18">
        <f t="shared" si="0"/>
        <v>30</v>
      </c>
      <c r="H18">
        <v>1</v>
      </c>
      <c r="I18">
        <f t="shared" si="1"/>
        <v>8.8610000000000008E-3</v>
      </c>
    </row>
    <row r="19" spans="2:9" x14ac:dyDescent="0.3">
      <c r="B19" s="4">
        <v>30</v>
      </c>
      <c r="C19" s="5">
        <v>180</v>
      </c>
      <c r="D19" s="6">
        <v>8.8999999999999999E-3</v>
      </c>
      <c r="G19">
        <f t="shared" si="0"/>
        <v>-30</v>
      </c>
      <c r="H19">
        <v>1</v>
      </c>
      <c r="I19">
        <f t="shared" si="1"/>
        <v>8.8999999999999999E-3</v>
      </c>
    </row>
    <row r="20" spans="2:9" x14ac:dyDescent="0.3">
      <c r="B20" s="4">
        <v>35</v>
      </c>
      <c r="C20" s="5">
        <v>0</v>
      </c>
      <c r="D20" s="6">
        <v>8.8470000000000007E-3</v>
      </c>
      <c r="G20">
        <f t="shared" si="0"/>
        <v>35</v>
      </c>
      <c r="H20">
        <v>1</v>
      </c>
      <c r="I20">
        <f t="shared" si="1"/>
        <v>8.8470000000000007E-3</v>
      </c>
    </row>
    <row r="21" spans="2:9" x14ac:dyDescent="0.3">
      <c r="B21" s="4">
        <v>35</v>
      </c>
      <c r="C21" s="5">
        <v>180</v>
      </c>
      <c r="D21" s="6">
        <v>8.7729999999999995E-3</v>
      </c>
      <c r="G21">
        <f t="shared" si="0"/>
        <v>-35</v>
      </c>
      <c r="H21">
        <v>1</v>
      </c>
      <c r="I21">
        <f t="shared" si="1"/>
        <v>8.7729999999999995E-3</v>
      </c>
    </row>
    <row r="22" spans="2:9" x14ac:dyDescent="0.3">
      <c r="B22" s="4">
        <v>40</v>
      </c>
      <c r="C22" s="5">
        <v>0</v>
      </c>
      <c r="D22" s="6">
        <v>8.9020000000000002E-3</v>
      </c>
      <c r="G22">
        <f t="shared" si="0"/>
        <v>40</v>
      </c>
      <c r="H22">
        <v>1</v>
      </c>
      <c r="I22">
        <f t="shared" si="1"/>
        <v>8.9020000000000002E-3</v>
      </c>
    </row>
    <row r="23" spans="2:9" x14ac:dyDescent="0.3">
      <c r="B23" s="4">
        <v>40</v>
      </c>
      <c r="C23" s="5">
        <v>180</v>
      </c>
      <c r="D23" s="6">
        <v>8.6879999999999995E-3</v>
      </c>
      <c r="G23">
        <f t="shared" si="0"/>
        <v>-40</v>
      </c>
      <c r="H23">
        <v>1</v>
      </c>
      <c r="I23">
        <f t="shared" si="1"/>
        <v>8.6879999999999995E-3</v>
      </c>
    </row>
    <row r="24" spans="2:9" x14ac:dyDescent="0.3">
      <c r="B24" s="4">
        <v>45</v>
      </c>
      <c r="C24" s="5">
        <v>0</v>
      </c>
      <c r="D24" s="6">
        <v>9.0150000000000004E-3</v>
      </c>
      <c r="G24">
        <f t="shared" si="0"/>
        <v>45</v>
      </c>
      <c r="H24">
        <v>1</v>
      </c>
      <c r="I24">
        <f t="shared" si="1"/>
        <v>9.0150000000000004E-3</v>
      </c>
    </row>
    <row r="25" spans="2:9" x14ac:dyDescent="0.3">
      <c r="B25" s="4">
        <v>45</v>
      </c>
      <c r="C25" s="5">
        <v>180</v>
      </c>
      <c r="D25" s="6">
        <v>8.6199999999999992E-3</v>
      </c>
      <c r="G25">
        <f t="shared" si="0"/>
        <v>-45</v>
      </c>
      <c r="H25">
        <v>1</v>
      </c>
      <c r="I25">
        <f t="shared" si="1"/>
        <v>8.6199999999999992E-3</v>
      </c>
    </row>
    <row r="26" spans="2:9" x14ac:dyDescent="0.3">
      <c r="B26" s="4">
        <v>50</v>
      </c>
      <c r="C26" s="5">
        <v>0</v>
      </c>
      <c r="D26" s="6">
        <v>9.1730000000000006E-3</v>
      </c>
      <c r="G26">
        <f t="shared" si="0"/>
        <v>50</v>
      </c>
      <c r="H26">
        <v>1</v>
      </c>
      <c r="I26">
        <f t="shared" si="1"/>
        <v>9.1730000000000006E-3</v>
      </c>
    </row>
    <row r="27" spans="2:9" x14ac:dyDescent="0.3">
      <c r="B27" s="4">
        <v>50</v>
      </c>
      <c r="C27" s="5">
        <v>180</v>
      </c>
      <c r="D27" s="6">
        <v>8.5649999999999997E-3</v>
      </c>
      <c r="G27">
        <f t="shared" si="0"/>
        <v>-50</v>
      </c>
      <c r="H27">
        <v>1</v>
      </c>
      <c r="I27">
        <f t="shared" si="1"/>
        <v>8.5649999999999997E-3</v>
      </c>
    </row>
    <row r="28" spans="2:9" x14ac:dyDescent="0.3">
      <c r="B28" s="4">
        <v>55</v>
      </c>
      <c r="C28" s="5">
        <v>0</v>
      </c>
      <c r="D28" s="6">
        <v>9.3570000000000007E-3</v>
      </c>
      <c r="G28">
        <f t="shared" si="0"/>
        <v>55</v>
      </c>
      <c r="H28">
        <v>1</v>
      </c>
      <c r="I28">
        <f t="shared" si="1"/>
        <v>9.3570000000000007E-3</v>
      </c>
    </row>
    <row r="29" spans="2:9" x14ac:dyDescent="0.3">
      <c r="B29" s="4">
        <v>55</v>
      </c>
      <c r="C29" s="5">
        <v>180</v>
      </c>
      <c r="D29" s="6">
        <v>8.5579999999999996E-3</v>
      </c>
      <c r="G29">
        <f t="shared" si="0"/>
        <v>-55</v>
      </c>
      <c r="H29">
        <v>1</v>
      </c>
      <c r="I29">
        <f t="shared" si="1"/>
        <v>8.5579999999999996E-3</v>
      </c>
    </row>
    <row r="30" spans="2:9" x14ac:dyDescent="0.3">
      <c r="B30" s="4">
        <v>60</v>
      </c>
      <c r="C30" s="5">
        <v>0</v>
      </c>
      <c r="D30" s="6">
        <v>9.6259999999999991E-3</v>
      </c>
      <c r="G30">
        <f t="shared" si="0"/>
        <v>60</v>
      </c>
      <c r="H30">
        <v>1</v>
      </c>
      <c r="I30">
        <f t="shared" si="1"/>
        <v>9.6259999999999991E-3</v>
      </c>
    </row>
    <row r="31" spans="2:9" x14ac:dyDescent="0.3">
      <c r="B31" s="4">
        <v>60</v>
      </c>
      <c r="C31" s="5">
        <v>180</v>
      </c>
      <c r="D31" s="6">
        <v>8.5500000000000003E-3</v>
      </c>
      <c r="G31">
        <f t="shared" si="0"/>
        <v>-60</v>
      </c>
      <c r="H31">
        <v>1</v>
      </c>
      <c r="I31">
        <f t="shared" si="1"/>
        <v>8.5500000000000003E-3</v>
      </c>
    </row>
    <row r="32" spans="2:9" x14ac:dyDescent="0.3">
      <c r="B32" s="4">
        <v>65</v>
      </c>
      <c r="C32" s="5">
        <v>0</v>
      </c>
      <c r="D32" s="6">
        <v>9.9439999999999997E-3</v>
      </c>
      <c r="G32">
        <f t="shared" si="0"/>
        <v>65</v>
      </c>
      <c r="H32">
        <v>1</v>
      </c>
      <c r="I32">
        <f t="shared" si="1"/>
        <v>9.9439999999999997E-3</v>
      </c>
    </row>
    <row r="33" spans="2:9" x14ac:dyDescent="0.3">
      <c r="B33" s="4">
        <v>65</v>
      </c>
      <c r="C33" s="5">
        <v>180</v>
      </c>
      <c r="D33" s="6">
        <v>8.5690000000000002E-3</v>
      </c>
      <c r="G33">
        <f t="shared" si="0"/>
        <v>-65</v>
      </c>
      <c r="H33">
        <v>1</v>
      </c>
      <c r="I33">
        <f t="shared" si="1"/>
        <v>8.5690000000000002E-3</v>
      </c>
    </row>
    <row r="34" spans="2:9" x14ac:dyDescent="0.3">
      <c r="B34" s="4">
        <v>70</v>
      </c>
      <c r="C34" s="5">
        <v>0</v>
      </c>
      <c r="D34" s="6">
        <v>1.0333E-2</v>
      </c>
      <c r="G34">
        <f t="shared" si="0"/>
        <v>70</v>
      </c>
      <c r="H34">
        <v>1</v>
      </c>
      <c r="I34">
        <f t="shared" si="1"/>
        <v>1.0333E-2</v>
      </c>
    </row>
    <row r="35" spans="2:9" x14ac:dyDescent="0.3">
      <c r="B35" s="4">
        <v>70</v>
      </c>
      <c r="C35" s="5">
        <v>180</v>
      </c>
      <c r="D35" s="6">
        <v>8.5609999999999992E-3</v>
      </c>
      <c r="G35">
        <f t="shared" si="0"/>
        <v>-70</v>
      </c>
      <c r="H35">
        <v>1</v>
      </c>
      <c r="I35">
        <f t="shared" si="1"/>
        <v>8.5609999999999992E-3</v>
      </c>
    </row>
    <row r="36" spans="2:9" x14ac:dyDescent="0.3">
      <c r="B36" s="4">
        <v>75</v>
      </c>
      <c r="C36" s="5">
        <v>0</v>
      </c>
      <c r="D36" s="6">
        <v>1.0685999999999999E-2</v>
      </c>
      <c r="G36">
        <f t="shared" si="0"/>
        <v>75</v>
      </c>
      <c r="H36">
        <v>1</v>
      </c>
      <c r="I36">
        <f t="shared" si="1"/>
        <v>1.0685999999999999E-2</v>
      </c>
    </row>
    <row r="37" spans="2:9" x14ac:dyDescent="0.3">
      <c r="B37" s="4">
        <v>75</v>
      </c>
      <c r="C37" s="5">
        <v>180</v>
      </c>
      <c r="D37" s="6">
        <v>8.5129999999999997E-3</v>
      </c>
      <c r="G37">
        <f t="shared" si="0"/>
        <v>-75</v>
      </c>
      <c r="H37">
        <v>1</v>
      </c>
      <c r="I37">
        <f t="shared" si="1"/>
        <v>8.5129999999999997E-3</v>
      </c>
    </row>
    <row r="38" spans="2:9" x14ac:dyDescent="0.3">
      <c r="B38" s="4">
        <v>80</v>
      </c>
      <c r="C38" s="5">
        <v>0</v>
      </c>
      <c r="D38" s="6">
        <v>1.07E-4</v>
      </c>
      <c r="G38">
        <f t="shared" si="0"/>
        <v>80</v>
      </c>
      <c r="H38">
        <v>1</v>
      </c>
      <c r="I38">
        <f t="shared" si="1"/>
        <v>1.07E-4</v>
      </c>
    </row>
    <row r="39" spans="2:9" x14ac:dyDescent="0.3">
      <c r="B39" s="4">
        <v>80</v>
      </c>
      <c r="C39" s="5">
        <v>180</v>
      </c>
      <c r="D39" s="6">
        <v>5.1999999999999997E-5</v>
      </c>
      <c r="G39">
        <f t="shared" si="0"/>
        <v>-80</v>
      </c>
      <c r="H39">
        <v>1</v>
      </c>
      <c r="I39">
        <f t="shared" si="1"/>
        <v>5.1999999999999997E-5</v>
      </c>
    </row>
    <row r="40" spans="2:9" x14ac:dyDescent="0.3">
      <c r="B40" s="4">
        <v>85</v>
      </c>
      <c r="C40" s="5">
        <v>0</v>
      </c>
      <c r="D40" s="6">
        <v>0</v>
      </c>
      <c r="G40">
        <f t="shared" si="0"/>
        <v>85</v>
      </c>
      <c r="H40">
        <v>1</v>
      </c>
      <c r="I40">
        <f t="shared" si="1"/>
        <v>0</v>
      </c>
    </row>
    <row r="41" spans="2:9" x14ac:dyDescent="0.3">
      <c r="B41" s="4">
        <v>85</v>
      </c>
      <c r="C41" s="5">
        <v>180</v>
      </c>
      <c r="D41" s="6">
        <v>0</v>
      </c>
      <c r="G41">
        <f t="shared" si="0"/>
        <v>-85</v>
      </c>
      <c r="H41">
        <v>1</v>
      </c>
      <c r="I41">
        <f t="shared" si="1"/>
        <v>0</v>
      </c>
    </row>
    <row r="42" spans="2:9" x14ac:dyDescent="0.3">
      <c r="B42" s="4">
        <v>30</v>
      </c>
      <c r="C42" s="5">
        <v>0</v>
      </c>
      <c r="D42" s="6"/>
      <c r="H42">
        <v>1</v>
      </c>
      <c r="I42">
        <f t="shared" si="1"/>
        <v>0</v>
      </c>
    </row>
    <row r="43" spans="2:9" x14ac:dyDescent="0.3">
      <c r="B43" s="4">
        <v>0</v>
      </c>
      <c r="C43" s="5">
        <v>180</v>
      </c>
      <c r="D43" s="6">
        <v>8.7749999999999998E-3</v>
      </c>
      <c r="G43">
        <f t="shared" si="0"/>
        <v>0</v>
      </c>
      <c r="H43">
        <v>1</v>
      </c>
      <c r="I43">
        <f t="shared" si="1"/>
        <v>8.7749999999999998E-3</v>
      </c>
    </row>
    <row r="44" spans="2:9" x14ac:dyDescent="0.3">
      <c r="B44" s="4">
        <v>5</v>
      </c>
      <c r="C44" s="5">
        <v>0</v>
      </c>
      <c r="D44" s="6">
        <v>8.7939999999999997E-3</v>
      </c>
      <c r="G44">
        <f t="shared" si="0"/>
        <v>5</v>
      </c>
      <c r="H44">
        <v>1</v>
      </c>
      <c r="I44">
        <f t="shared" si="1"/>
        <v>8.7939999999999997E-3</v>
      </c>
    </row>
    <row r="45" spans="2:9" x14ac:dyDescent="0.3">
      <c r="B45" s="4">
        <v>5</v>
      </c>
      <c r="C45" s="5">
        <v>180</v>
      </c>
      <c r="D45" s="6">
        <v>8.8299999999999993E-3</v>
      </c>
      <c r="G45">
        <f t="shared" si="0"/>
        <v>-5</v>
      </c>
      <c r="H45">
        <v>1</v>
      </c>
      <c r="I45">
        <f t="shared" si="1"/>
        <v>8.8299999999999993E-3</v>
      </c>
    </row>
    <row r="46" spans="2:9" x14ac:dyDescent="0.3">
      <c r="B46" s="4">
        <v>10</v>
      </c>
      <c r="C46" s="5">
        <v>0</v>
      </c>
      <c r="D46" s="6">
        <v>8.8489999999999992E-3</v>
      </c>
      <c r="G46">
        <f t="shared" si="0"/>
        <v>10</v>
      </c>
      <c r="H46">
        <v>1</v>
      </c>
      <c r="I46">
        <f t="shared" si="1"/>
        <v>8.8489999999999992E-3</v>
      </c>
    </row>
    <row r="47" spans="2:9" x14ac:dyDescent="0.3">
      <c r="B47" s="4">
        <v>10</v>
      </c>
      <c r="C47" s="5">
        <v>180</v>
      </c>
      <c r="D47" s="6">
        <v>8.8920000000000006E-3</v>
      </c>
      <c r="G47">
        <f t="shared" si="0"/>
        <v>-10</v>
      </c>
      <c r="H47">
        <v>1</v>
      </c>
      <c r="I47">
        <f t="shared" si="1"/>
        <v>8.8920000000000006E-3</v>
      </c>
    </row>
    <row r="48" spans="2:9" x14ac:dyDescent="0.3">
      <c r="B48" s="4">
        <v>15</v>
      </c>
      <c r="C48" s="5">
        <v>0</v>
      </c>
      <c r="D48" s="6">
        <v>8.9239999999999996E-3</v>
      </c>
      <c r="G48">
        <f t="shared" si="0"/>
        <v>15</v>
      </c>
      <c r="H48">
        <v>1</v>
      </c>
      <c r="I48">
        <f t="shared" si="1"/>
        <v>8.9239999999999996E-3</v>
      </c>
    </row>
    <row r="49" spans="2:9" x14ac:dyDescent="0.3">
      <c r="B49" s="4">
        <v>15</v>
      </c>
      <c r="C49" s="5">
        <v>180</v>
      </c>
      <c r="D49" s="6">
        <v>9.0449999999999992E-3</v>
      </c>
      <c r="G49">
        <f t="shared" si="0"/>
        <v>-15</v>
      </c>
      <c r="H49">
        <v>1</v>
      </c>
      <c r="I49">
        <f t="shared" si="1"/>
        <v>9.0449999999999992E-3</v>
      </c>
    </row>
    <row r="50" spans="2:9" x14ac:dyDescent="0.3">
      <c r="B50" s="4">
        <v>20</v>
      </c>
      <c r="C50" s="5">
        <v>0</v>
      </c>
      <c r="D50" s="6">
        <v>9.0709999999999992E-3</v>
      </c>
      <c r="G50">
        <f t="shared" si="0"/>
        <v>20</v>
      </c>
      <c r="H50">
        <v>1</v>
      </c>
      <c r="I50">
        <f t="shared" si="1"/>
        <v>9.0709999999999992E-3</v>
      </c>
    </row>
    <row r="51" spans="2:9" x14ac:dyDescent="0.3">
      <c r="B51" s="4">
        <v>20</v>
      </c>
      <c r="C51" s="5">
        <v>180</v>
      </c>
      <c r="D51" s="6">
        <v>9.2619999999999994E-3</v>
      </c>
      <c r="G51">
        <f t="shared" si="0"/>
        <v>-20</v>
      </c>
      <c r="H51">
        <v>1</v>
      </c>
      <c r="I51">
        <f t="shared" si="1"/>
        <v>9.2619999999999994E-3</v>
      </c>
    </row>
    <row r="52" spans="2:9" x14ac:dyDescent="0.3">
      <c r="B52" s="4">
        <v>25</v>
      </c>
      <c r="C52" s="5">
        <v>0</v>
      </c>
      <c r="D52" s="6">
        <v>9.2519999999999998E-3</v>
      </c>
      <c r="G52">
        <f t="shared" si="0"/>
        <v>25</v>
      </c>
      <c r="H52">
        <v>1</v>
      </c>
      <c r="I52">
        <f t="shared" si="1"/>
        <v>9.2519999999999998E-3</v>
      </c>
    </row>
    <row r="53" spans="2:9" x14ac:dyDescent="0.3">
      <c r="B53" s="4">
        <v>30</v>
      </c>
      <c r="C53" s="5">
        <v>0</v>
      </c>
      <c r="D53" s="6">
        <v>9.4380000000000002E-3</v>
      </c>
      <c r="G53">
        <f t="shared" si="0"/>
        <v>30</v>
      </c>
      <c r="H53">
        <v>1</v>
      </c>
      <c r="I53">
        <f t="shared" si="1"/>
        <v>9.4380000000000002E-3</v>
      </c>
    </row>
    <row r="54" spans="2:9" x14ac:dyDescent="0.3">
      <c r="B54" s="4">
        <v>35</v>
      </c>
      <c r="C54" s="5">
        <v>0</v>
      </c>
      <c r="D54" s="6">
        <v>9.7680000000000006E-3</v>
      </c>
      <c r="G54">
        <f t="shared" si="0"/>
        <v>35</v>
      </c>
      <c r="H54">
        <v>1</v>
      </c>
      <c r="I54">
        <f t="shared" si="1"/>
        <v>9.7680000000000006E-3</v>
      </c>
    </row>
    <row r="55" spans="2:9" x14ac:dyDescent="0.3">
      <c r="B55" s="4">
        <v>40</v>
      </c>
      <c r="C55" s="5">
        <v>0</v>
      </c>
      <c r="D55" s="6">
        <v>1.0239E-2</v>
      </c>
      <c r="G55">
        <f t="shared" si="0"/>
        <v>40</v>
      </c>
      <c r="H55">
        <v>1</v>
      </c>
      <c r="I55">
        <f t="shared" si="1"/>
        <v>1.0239E-2</v>
      </c>
    </row>
    <row r="56" spans="2:9" x14ac:dyDescent="0.3">
      <c r="B56" s="4">
        <v>40</v>
      </c>
      <c r="C56" s="5">
        <v>180</v>
      </c>
      <c r="D56" s="6">
        <v>9.4000000000000004E-3</v>
      </c>
      <c r="G56">
        <f t="shared" si="0"/>
        <v>-40</v>
      </c>
      <c r="H56">
        <v>1</v>
      </c>
      <c r="I56">
        <f t="shared" si="1"/>
        <v>9.4000000000000004E-3</v>
      </c>
    </row>
    <row r="57" spans="2:9" x14ac:dyDescent="0.3">
      <c r="B57" s="4">
        <v>45</v>
      </c>
      <c r="C57" s="5">
        <v>0</v>
      </c>
      <c r="D57" s="6">
        <v>1.0781000000000001E-2</v>
      </c>
      <c r="G57">
        <f t="shared" si="0"/>
        <v>45</v>
      </c>
      <c r="H57">
        <v>1</v>
      </c>
      <c r="I57">
        <f t="shared" si="1"/>
        <v>1.0781000000000001E-2</v>
      </c>
    </row>
    <row r="58" spans="2:9" x14ac:dyDescent="0.3">
      <c r="B58" s="4">
        <v>45</v>
      </c>
      <c r="C58" s="5">
        <v>180</v>
      </c>
      <c r="D58" s="6">
        <v>9.195E-3</v>
      </c>
      <c r="G58">
        <f t="shared" si="0"/>
        <v>-45</v>
      </c>
      <c r="H58">
        <v>1</v>
      </c>
      <c r="I58">
        <f t="shared" si="1"/>
        <v>9.195E-3</v>
      </c>
    </row>
    <row r="59" spans="2:9" x14ac:dyDescent="0.3">
      <c r="B59" s="4">
        <v>50</v>
      </c>
      <c r="C59" s="5">
        <v>0</v>
      </c>
      <c r="D59" s="6">
        <v>1.1448E-2</v>
      </c>
      <c r="G59">
        <f t="shared" si="0"/>
        <v>50</v>
      </c>
      <c r="H59">
        <v>1</v>
      </c>
      <c r="I59">
        <f t="shared" si="1"/>
        <v>1.1448E-2</v>
      </c>
    </row>
    <row r="60" spans="2:9" x14ac:dyDescent="0.3">
      <c r="B60" s="4">
        <v>50</v>
      </c>
      <c r="C60" s="5">
        <v>180</v>
      </c>
      <c r="D60" s="6">
        <v>9.0200000000000002E-3</v>
      </c>
      <c r="G60">
        <f t="shared" si="0"/>
        <v>-50</v>
      </c>
      <c r="H60">
        <v>1</v>
      </c>
      <c r="I60">
        <f t="shared" si="1"/>
        <v>9.0200000000000002E-3</v>
      </c>
    </row>
    <row r="61" spans="2:9" x14ac:dyDescent="0.3">
      <c r="B61" s="4">
        <v>55</v>
      </c>
      <c r="C61" s="5">
        <v>0</v>
      </c>
      <c r="D61" s="6">
        <v>1.2302E-2</v>
      </c>
      <c r="G61">
        <f t="shared" si="0"/>
        <v>55</v>
      </c>
      <c r="H61">
        <v>1</v>
      </c>
      <c r="I61">
        <f t="shared" si="1"/>
        <v>1.2302E-2</v>
      </c>
    </row>
    <row r="62" spans="2:9" x14ac:dyDescent="0.3">
      <c r="B62" s="4">
        <v>55</v>
      </c>
      <c r="C62" s="5">
        <v>180</v>
      </c>
      <c r="D62" s="6">
        <v>8.9180000000000006E-3</v>
      </c>
      <c r="G62">
        <f t="shared" si="0"/>
        <v>-55</v>
      </c>
      <c r="H62">
        <v>1</v>
      </c>
      <c r="I62">
        <f t="shared" si="1"/>
        <v>8.9180000000000006E-3</v>
      </c>
    </row>
    <row r="63" spans="2:9" x14ac:dyDescent="0.3">
      <c r="B63" s="4">
        <v>60</v>
      </c>
      <c r="C63" s="5">
        <v>0</v>
      </c>
      <c r="D63" s="6">
        <v>1.3421000000000001E-2</v>
      </c>
      <c r="G63">
        <f t="shared" si="0"/>
        <v>60</v>
      </c>
      <c r="H63">
        <v>1</v>
      </c>
      <c r="I63">
        <f t="shared" si="1"/>
        <v>1.3421000000000001E-2</v>
      </c>
    </row>
    <row r="64" spans="2:9" x14ac:dyDescent="0.3">
      <c r="B64" s="4">
        <v>60</v>
      </c>
      <c r="C64" s="5">
        <v>180</v>
      </c>
      <c r="D64" s="6">
        <v>8.7760000000000008E-3</v>
      </c>
      <c r="G64">
        <f t="shared" si="0"/>
        <v>-60</v>
      </c>
      <c r="H64">
        <v>1</v>
      </c>
      <c r="I64">
        <f t="shared" si="1"/>
        <v>8.7760000000000008E-3</v>
      </c>
    </row>
    <row r="65" spans="2:9" x14ac:dyDescent="0.3">
      <c r="B65" s="4">
        <v>65</v>
      </c>
      <c r="C65" s="5">
        <v>0</v>
      </c>
      <c r="D65" s="6">
        <v>1.4867E-2</v>
      </c>
      <c r="G65">
        <f t="shared" si="0"/>
        <v>65</v>
      </c>
      <c r="H65">
        <v>1</v>
      </c>
      <c r="I65">
        <f t="shared" si="1"/>
        <v>1.4867E-2</v>
      </c>
    </row>
    <row r="66" spans="2:9" x14ac:dyDescent="0.3">
      <c r="B66" s="4">
        <v>65</v>
      </c>
      <c r="C66" s="5">
        <v>180</v>
      </c>
      <c r="D66" s="6">
        <v>8.6580000000000008E-3</v>
      </c>
      <c r="G66">
        <f t="shared" si="0"/>
        <v>-65</v>
      </c>
      <c r="H66">
        <v>1</v>
      </c>
      <c r="I66">
        <f t="shared" si="1"/>
        <v>8.6580000000000008E-3</v>
      </c>
    </row>
    <row r="67" spans="2:9" x14ac:dyDescent="0.3">
      <c r="B67" s="4">
        <v>70</v>
      </c>
      <c r="C67" s="5">
        <v>0</v>
      </c>
      <c r="D67" s="6">
        <v>1.6684999999999998E-2</v>
      </c>
      <c r="G67">
        <f t="shared" si="0"/>
        <v>70</v>
      </c>
      <c r="H67">
        <v>1</v>
      </c>
      <c r="I67">
        <f t="shared" si="1"/>
        <v>1.6684999999999998E-2</v>
      </c>
    </row>
    <row r="68" spans="2:9" x14ac:dyDescent="0.3">
      <c r="B68" s="4">
        <v>70</v>
      </c>
      <c r="C68" s="5">
        <v>180</v>
      </c>
      <c r="D68" s="6">
        <v>8.5109999999999995E-3</v>
      </c>
      <c r="G68">
        <f t="shared" si="0"/>
        <v>-70</v>
      </c>
      <c r="H68">
        <v>1</v>
      </c>
      <c r="I68">
        <f t="shared" si="1"/>
        <v>8.5109999999999995E-3</v>
      </c>
    </row>
    <row r="69" spans="2:9" x14ac:dyDescent="0.3">
      <c r="B69" s="4">
        <v>75</v>
      </c>
      <c r="C69" s="5">
        <v>0</v>
      </c>
      <c r="D69" s="6">
        <v>1.8807000000000001E-2</v>
      </c>
      <c r="G69">
        <f t="shared" si="0"/>
        <v>75</v>
      </c>
      <c r="H69">
        <v>1</v>
      </c>
      <c r="I69">
        <f t="shared" si="1"/>
        <v>1.8807000000000001E-2</v>
      </c>
    </row>
    <row r="70" spans="2:9" x14ac:dyDescent="0.3">
      <c r="B70" s="4">
        <v>75</v>
      </c>
      <c r="C70" s="5">
        <v>180</v>
      </c>
      <c r="D70" s="6">
        <v>8.3169999999999997E-3</v>
      </c>
      <c r="G70">
        <f t="shared" si="0"/>
        <v>-75</v>
      </c>
      <c r="H70">
        <v>1</v>
      </c>
      <c r="I70">
        <f t="shared" si="1"/>
        <v>8.3169999999999997E-3</v>
      </c>
    </row>
    <row r="71" spans="2:9" x14ac:dyDescent="0.3">
      <c r="B71" s="4">
        <v>80</v>
      </c>
      <c r="C71" s="5">
        <v>0</v>
      </c>
      <c r="D71" s="6">
        <v>3.48E-4</v>
      </c>
      <c r="G71">
        <f t="shared" si="0"/>
        <v>80</v>
      </c>
      <c r="H71">
        <v>1</v>
      </c>
      <c r="I71">
        <f t="shared" si="1"/>
        <v>3.48E-4</v>
      </c>
    </row>
    <row r="72" spans="2:9" x14ac:dyDescent="0.3">
      <c r="B72" s="4">
        <v>80</v>
      </c>
      <c r="C72" s="5">
        <v>180</v>
      </c>
      <c r="D72" s="6">
        <v>5.1E-5</v>
      </c>
      <c r="G72">
        <f t="shared" si="0"/>
        <v>-80</v>
      </c>
      <c r="H72">
        <v>1</v>
      </c>
      <c r="I72">
        <f t="shared" si="1"/>
        <v>5.1E-5</v>
      </c>
    </row>
    <row r="73" spans="2:9" x14ac:dyDescent="0.3">
      <c r="B73" s="4">
        <v>85</v>
      </c>
      <c r="C73" s="5">
        <v>0</v>
      </c>
      <c r="D73" s="6">
        <v>9.9999999999999995E-7</v>
      </c>
      <c r="G73">
        <f t="shared" si="0"/>
        <v>85</v>
      </c>
      <c r="H73">
        <v>1</v>
      </c>
      <c r="I73">
        <f t="shared" si="1"/>
        <v>9.9999999999999995E-7</v>
      </c>
    </row>
    <row r="74" spans="2:9" x14ac:dyDescent="0.3">
      <c r="B74" s="4">
        <v>85</v>
      </c>
      <c r="C74" s="5">
        <v>180</v>
      </c>
      <c r="D74" s="6">
        <v>9.9999999999999995E-7</v>
      </c>
      <c r="G74">
        <f t="shared" ref="G74:G137" si="2">IF(C74=0, B74, IF(C74=180, -B74, 270))</f>
        <v>-85</v>
      </c>
      <c r="H74">
        <v>1</v>
      </c>
      <c r="I74">
        <f t="shared" si="1"/>
        <v>9.9999999999999995E-7</v>
      </c>
    </row>
    <row r="75" spans="2:9" x14ac:dyDescent="0.3">
      <c r="B75" s="4">
        <v>50</v>
      </c>
      <c r="C75" s="5">
        <v>0</v>
      </c>
      <c r="D75" s="6"/>
      <c r="H75">
        <v>1</v>
      </c>
      <c r="I75">
        <f t="shared" ref="I75:I138" si="3">D75*H75</f>
        <v>0</v>
      </c>
    </row>
    <row r="76" spans="2:9" x14ac:dyDescent="0.3">
      <c r="B76" s="4">
        <v>0</v>
      </c>
      <c r="C76" s="5">
        <v>180</v>
      </c>
      <c r="D76" s="6">
        <v>8.7379999999999992E-3</v>
      </c>
      <c r="G76">
        <f t="shared" si="2"/>
        <v>0</v>
      </c>
      <c r="H76">
        <v>1</v>
      </c>
      <c r="I76">
        <f t="shared" si="3"/>
        <v>8.7379999999999992E-3</v>
      </c>
    </row>
    <row r="77" spans="2:9" x14ac:dyDescent="0.3">
      <c r="B77" s="4">
        <v>5</v>
      </c>
      <c r="C77" s="5">
        <v>0</v>
      </c>
      <c r="D77" s="6">
        <v>8.8979999999999997E-3</v>
      </c>
      <c r="G77">
        <f t="shared" si="2"/>
        <v>5</v>
      </c>
      <c r="H77">
        <v>1</v>
      </c>
      <c r="I77">
        <f t="shared" si="3"/>
        <v>8.8979999999999997E-3</v>
      </c>
    </row>
    <row r="78" spans="2:9" x14ac:dyDescent="0.3">
      <c r="B78" s="4">
        <v>5</v>
      </c>
      <c r="C78" s="5">
        <v>180</v>
      </c>
      <c r="D78" s="6">
        <v>8.6269999999999993E-3</v>
      </c>
      <c r="G78">
        <f t="shared" si="2"/>
        <v>-5</v>
      </c>
      <c r="H78">
        <v>1</v>
      </c>
      <c r="I78">
        <f t="shared" si="3"/>
        <v>8.6269999999999993E-3</v>
      </c>
    </row>
    <row r="79" spans="2:9" x14ac:dyDescent="0.3">
      <c r="B79" s="4">
        <v>10</v>
      </c>
      <c r="C79" s="5">
        <v>0</v>
      </c>
      <c r="D79" s="6">
        <v>9.1710000000000003E-3</v>
      </c>
      <c r="G79">
        <f t="shared" si="2"/>
        <v>10</v>
      </c>
      <c r="H79">
        <v>1</v>
      </c>
      <c r="I79">
        <f t="shared" si="3"/>
        <v>9.1710000000000003E-3</v>
      </c>
    </row>
    <row r="80" spans="2:9" x14ac:dyDescent="0.3">
      <c r="B80" s="4">
        <v>10</v>
      </c>
      <c r="C80" s="5">
        <v>180</v>
      </c>
      <c r="D80" s="6">
        <v>8.5540000000000008E-3</v>
      </c>
      <c r="G80">
        <f t="shared" si="2"/>
        <v>-10</v>
      </c>
      <c r="H80">
        <v>1</v>
      </c>
      <c r="I80">
        <f t="shared" si="3"/>
        <v>8.5540000000000008E-3</v>
      </c>
    </row>
    <row r="81" spans="2:9" x14ac:dyDescent="0.3">
      <c r="B81" s="4">
        <v>15</v>
      </c>
      <c r="C81" s="5">
        <v>0</v>
      </c>
      <c r="D81" s="6">
        <v>9.5350000000000001E-3</v>
      </c>
      <c r="G81">
        <f t="shared" si="2"/>
        <v>15</v>
      </c>
      <c r="H81">
        <v>1</v>
      </c>
      <c r="I81">
        <f t="shared" si="3"/>
        <v>9.5350000000000001E-3</v>
      </c>
    </row>
    <row r="82" spans="2:9" x14ac:dyDescent="0.3">
      <c r="B82" s="4">
        <v>15</v>
      </c>
      <c r="C82" s="5">
        <v>180</v>
      </c>
      <c r="D82" s="6">
        <v>8.5880000000000001E-3</v>
      </c>
      <c r="G82">
        <f t="shared" si="2"/>
        <v>-15</v>
      </c>
      <c r="H82">
        <v>1</v>
      </c>
      <c r="I82">
        <f t="shared" si="3"/>
        <v>8.5880000000000001E-3</v>
      </c>
    </row>
    <row r="83" spans="2:9" x14ac:dyDescent="0.3">
      <c r="B83" s="4">
        <v>20</v>
      </c>
      <c r="C83" s="5">
        <v>0</v>
      </c>
      <c r="D83" s="6">
        <v>9.9830000000000006E-3</v>
      </c>
      <c r="G83">
        <f t="shared" si="2"/>
        <v>20</v>
      </c>
      <c r="H83">
        <v>1</v>
      </c>
      <c r="I83">
        <f t="shared" si="3"/>
        <v>9.9830000000000006E-3</v>
      </c>
    </row>
    <row r="84" spans="2:9" x14ac:dyDescent="0.3">
      <c r="B84" s="4">
        <v>20</v>
      </c>
      <c r="C84" s="5">
        <v>180</v>
      </c>
      <c r="D84" s="6">
        <v>8.6820000000000005E-3</v>
      </c>
      <c r="G84">
        <f t="shared" si="2"/>
        <v>-20</v>
      </c>
      <c r="H84">
        <v>1</v>
      </c>
      <c r="I84">
        <f t="shared" si="3"/>
        <v>8.6820000000000005E-3</v>
      </c>
    </row>
    <row r="85" spans="2:9" x14ac:dyDescent="0.3">
      <c r="B85" s="4">
        <v>25</v>
      </c>
      <c r="C85" s="5">
        <v>0</v>
      </c>
      <c r="D85" s="6">
        <v>1.0557E-2</v>
      </c>
      <c r="G85">
        <f t="shared" si="2"/>
        <v>25</v>
      </c>
      <c r="H85">
        <v>1</v>
      </c>
      <c r="I85">
        <f t="shared" si="3"/>
        <v>1.0557E-2</v>
      </c>
    </row>
    <row r="86" spans="2:9" x14ac:dyDescent="0.3">
      <c r="B86" s="4">
        <v>25</v>
      </c>
      <c r="C86" s="5">
        <v>180</v>
      </c>
      <c r="D86" s="6">
        <v>8.8109999999999994E-3</v>
      </c>
      <c r="G86">
        <f t="shared" si="2"/>
        <v>-25</v>
      </c>
      <c r="H86">
        <v>1</v>
      </c>
      <c r="I86">
        <f t="shared" si="3"/>
        <v>8.8109999999999994E-3</v>
      </c>
    </row>
    <row r="87" spans="2:9" x14ac:dyDescent="0.3">
      <c r="B87" s="4">
        <v>30</v>
      </c>
      <c r="C87" s="5">
        <v>0</v>
      </c>
      <c r="D87" s="6">
        <v>1.1448E-2</v>
      </c>
      <c r="G87">
        <f t="shared" si="2"/>
        <v>30</v>
      </c>
      <c r="H87">
        <v>1</v>
      </c>
      <c r="I87">
        <f t="shared" si="3"/>
        <v>1.1448E-2</v>
      </c>
    </row>
    <row r="88" spans="2:9" x14ac:dyDescent="0.3">
      <c r="B88" s="4">
        <v>30</v>
      </c>
      <c r="C88" s="5">
        <v>180</v>
      </c>
      <c r="D88" s="6">
        <v>9.0449999999999992E-3</v>
      </c>
      <c r="G88">
        <f t="shared" si="2"/>
        <v>-30</v>
      </c>
      <c r="H88">
        <v>1</v>
      </c>
      <c r="I88">
        <f t="shared" si="3"/>
        <v>9.0449999999999992E-3</v>
      </c>
    </row>
    <row r="89" spans="2:9" x14ac:dyDescent="0.3">
      <c r="B89" s="4">
        <v>35</v>
      </c>
      <c r="C89" s="5">
        <v>0</v>
      </c>
      <c r="D89" s="6">
        <v>1.2596E-2</v>
      </c>
      <c r="G89">
        <f t="shared" si="2"/>
        <v>35</v>
      </c>
      <c r="H89">
        <v>1</v>
      </c>
      <c r="I89">
        <f t="shared" si="3"/>
        <v>1.2596E-2</v>
      </c>
    </row>
    <row r="90" spans="2:9" x14ac:dyDescent="0.3">
      <c r="B90" s="4">
        <v>35</v>
      </c>
      <c r="C90" s="5">
        <v>180</v>
      </c>
      <c r="D90" s="6">
        <v>9.3810000000000004E-3</v>
      </c>
      <c r="G90">
        <f t="shared" si="2"/>
        <v>-35</v>
      </c>
      <c r="H90">
        <v>1</v>
      </c>
      <c r="I90">
        <f t="shared" si="3"/>
        <v>9.3810000000000004E-3</v>
      </c>
    </row>
    <row r="91" spans="2:9" x14ac:dyDescent="0.3">
      <c r="B91" s="4">
        <v>40</v>
      </c>
      <c r="C91" s="5">
        <v>0</v>
      </c>
      <c r="D91" s="6">
        <v>1.4033E-2</v>
      </c>
      <c r="G91">
        <f t="shared" si="2"/>
        <v>40</v>
      </c>
      <c r="H91">
        <v>1</v>
      </c>
      <c r="I91">
        <f t="shared" si="3"/>
        <v>1.4033E-2</v>
      </c>
    </row>
    <row r="92" spans="2:9" x14ac:dyDescent="0.3">
      <c r="B92" s="4">
        <v>40</v>
      </c>
      <c r="C92" s="5">
        <v>180</v>
      </c>
      <c r="D92" s="6">
        <v>9.8049999999999995E-3</v>
      </c>
      <c r="G92">
        <f t="shared" si="2"/>
        <v>-40</v>
      </c>
      <c r="H92">
        <v>1</v>
      </c>
      <c r="I92">
        <f t="shared" si="3"/>
        <v>9.8049999999999995E-3</v>
      </c>
    </row>
    <row r="93" spans="2:9" x14ac:dyDescent="0.3">
      <c r="B93" s="4">
        <v>45</v>
      </c>
      <c r="C93" s="5">
        <v>0</v>
      </c>
      <c r="D93" s="6">
        <v>1.6039000000000001E-2</v>
      </c>
      <c r="G93">
        <f t="shared" si="2"/>
        <v>45</v>
      </c>
      <c r="H93">
        <v>1</v>
      </c>
      <c r="I93">
        <f t="shared" si="3"/>
        <v>1.6039000000000001E-2</v>
      </c>
    </row>
    <row r="94" spans="2:9" x14ac:dyDescent="0.3">
      <c r="B94" s="4">
        <v>50</v>
      </c>
      <c r="C94" s="5">
        <v>0</v>
      </c>
      <c r="D94" s="6">
        <v>1.8693999999999999E-2</v>
      </c>
      <c r="G94">
        <f t="shared" si="2"/>
        <v>50</v>
      </c>
      <c r="H94">
        <v>1</v>
      </c>
      <c r="I94">
        <f t="shared" si="3"/>
        <v>1.8693999999999999E-2</v>
      </c>
    </row>
    <row r="95" spans="2:9" x14ac:dyDescent="0.3">
      <c r="B95" s="4">
        <v>55</v>
      </c>
      <c r="C95" s="5">
        <v>0</v>
      </c>
      <c r="D95" s="6">
        <v>2.2370999999999999E-2</v>
      </c>
      <c r="G95">
        <f t="shared" si="2"/>
        <v>55</v>
      </c>
      <c r="H95">
        <v>1</v>
      </c>
      <c r="I95">
        <f t="shared" si="3"/>
        <v>2.2370999999999999E-2</v>
      </c>
    </row>
    <row r="96" spans="2:9" x14ac:dyDescent="0.3">
      <c r="B96" s="4">
        <v>60</v>
      </c>
      <c r="C96" s="5">
        <v>0</v>
      </c>
      <c r="D96" s="6">
        <v>2.7507E-2</v>
      </c>
      <c r="G96">
        <f t="shared" si="2"/>
        <v>60</v>
      </c>
      <c r="H96">
        <v>1</v>
      </c>
      <c r="I96">
        <f t="shared" si="3"/>
        <v>2.7507E-2</v>
      </c>
    </row>
    <row r="97" spans="2:9" x14ac:dyDescent="0.3">
      <c r="B97" s="4">
        <v>60</v>
      </c>
      <c r="C97" s="5">
        <v>180</v>
      </c>
      <c r="D97" s="6">
        <v>1.0638999999999999E-2</v>
      </c>
      <c r="G97">
        <f t="shared" si="2"/>
        <v>-60</v>
      </c>
      <c r="H97">
        <v>1</v>
      </c>
      <c r="I97">
        <f t="shared" si="3"/>
        <v>1.0638999999999999E-2</v>
      </c>
    </row>
    <row r="98" spans="2:9" x14ac:dyDescent="0.3">
      <c r="B98" s="4">
        <v>65</v>
      </c>
      <c r="C98" s="5">
        <v>0</v>
      </c>
      <c r="D98" s="6">
        <v>3.4832000000000002E-2</v>
      </c>
      <c r="G98">
        <f t="shared" si="2"/>
        <v>65</v>
      </c>
      <c r="H98">
        <v>1</v>
      </c>
      <c r="I98">
        <f t="shared" si="3"/>
        <v>3.4832000000000002E-2</v>
      </c>
    </row>
    <row r="99" spans="2:9" x14ac:dyDescent="0.3">
      <c r="B99" s="4">
        <v>65</v>
      </c>
      <c r="C99" s="5">
        <v>180</v>
      </c>
      <c r="D99" s="6">
        <v>1.0411999999999999E-2</v>
      </c>
      <c r="G99">
        <f t="shared" si="2"/>
        <v>-65</v>
      </c>
      <c r="H99">
        <v>1</v>
      </c>
      <c r="I99">
        <f t="shared" si="3"/>
        <v>1.0411999999999999E-2</v>
      </c>
    </row>
    <row r="100" spans="2:9" x14ac:dyDescent="0.3">
      <c r="B100" s="4">
        <v>70</v>
      </c>
      <c r="C100" s="5">
        <v>0</v>
      </c>
      <c r="D100" s="6">
        <v>4.5037000000000001E-2</v>
      </c>
      <c r="G100">
        <f t="shared" si="2"/>
        <v>70</v>
      </c>
      <c r="H100">
        <v>1</v>
      </c>
      <c r="I100">
        <f t="shared" si="3"/>
        <v>4.5037000000000001E-2</v>
      </c>
    </row>
    <row r="101" spans="2:9" x14ac:dyDescent="0.3">
      <c r="B101" s="4">
        <v>70</v>
      </c>
      <c r="C101" s="5">
        <v>180</v>
      </c>
      <c r="D101" s="6">
        <v>1.0155000000000001E-2</v>
      </c>
      <c r="G101">
        <f t="shared" si="2"/>
        <v>-70</v>
      </c>
      <c r="H101">
        <v>1</v>
      </c>
      <c r="I101">
        <f t="shared" si="3"/>
        <v>1.0155000000000001E-2</v>
      </c>
    </row>
    <row r="102" spans="2:9" x14ac:dyDescent="0.3">
      <c r="B102" s="4">
        <v>75</v>
      </c>
      <c r="C102" s="5">
        <v>0</v>
      </c>
      <c r="D102" s="6">
        <v>5.8821999999999999E-2</v>
      </c>
      <c r="G102">
        <f t="shared" si="2"/>
        <v>75</v>
      </c>
      <c r="H102">
        <v>1</v>
      </c>
      <c r="I102">
        <f t="shared" si="3"/>
        <v>5.8821999999999999E-2</v>
      </c>
    </row>
    <row r="103" spans="2:9" x14ac:dyDescent="0.3">
      <c r="B103" s="4">
        <v>75</v>
      </c>
      <c r="C103" s="5">
        <v>180</v>
      </c>
      <c r="D103" s="6">
        <v>9.8189999999999996E-3</v>
      </c>
      <c r="G103">
        <f t="shared" si="2"/>
        <v>-75</v>
      </c>
      <c r="H103">
        <v>1</v>
      </c>
      <c r="I103">
        <f t="shared" si="3"/>
        <v>9.8189999999999996E-3</v>
      </c>
    </row>
    <row r="104" spans="2:9" x14ac:dyDescent="0.3">
      <c r="B104" s="4">
        <v>80</v>
      </c>
      <c r="C104" s="5">
        <v>0</v>
      </c>
      <c r="D104" s="6">
        <v>1.673E-3</v>
      </c>
      <c r="G104">
        <f t="shared" si="2"/>
        <v>80</v>
      </c>
      <c r="H104">
        <v>1</v>
      </c>
      <c r="I104">
        <f t="shared" si="3"/>
        <v>1.673E-3</v>
      </c>
    </row>
    <row r="105" spans="2:9" x14ac:dyDescent="0.3">
      <c r="B105" s="4">
        <v>80</v>
      </c>
      <c r="C105" s="5">
        <v>180</v>
      </c>
      <c r="D105" s="6">
        <v>6.0000000000000002E-5</v>
      </c>
      <c r="G105">
        <f t="shared" si="2"/>
        <v>-80</v>
      </c>
      <c r="H105">
        <v>1</v>
      </c>
      <c r="I105">
        <f t="shared" si="3"/>
        <v>6.0000000000000002E-5</v>
      </c>
    </row>
    <row r="106" spans="2:9" x14ac:dyDescent="0.3">
      <c r="B106" s="4">
        <v>85</v>
      </c>
      <c r="C106" s="5">
        <v>0</v>
      </c>
      <c r="D106" s="6">
        <v>0</v>
      </c>
      <c r="G106">
        <f t="shared" si="2"/>
        <v>85</v>
      </c>
      <c r="H106">
        <v>1</v>
      </c>
      <c r="I106">
        <f t="shared" si="3"/>
        <v>0</v>
      </c>
    </row>
    <row r="107" spans="2:9" x14ac:dyDescent="0.3">
      <c r="B107" s="4">
        <v>85</v>
      </c>
      <c r="C107" s="5">
        <v>180</v>
      </c>
      <c r="D107" s="6">
        <v>1.9999999999999999E-6</v>
      </c>
      <c r="G107">
        <f t="shared" si="2"/>
        <v>-85</v>
      </c>
      <c r="H107">
        <v>1</v>
      </c>
      <c r="I107">
        <f t="shared" si="3"/>
        <v>1.9999999999999999E-6</v>
      </c>
    </row>
    <row r="108" spans="2:9" x14ac:dyDescent="0.3">
      <c r="B108" s="4">
        <v>70</v>
      </c>
      <c r="C108" s="5">
        <v>0</v>
      </c>
      <c r="D108" s="6"/>
      <c r="H108">
        <v>1</v>
      </c>
      <c r="I108">
        <f t="shared" si="3"/>
        <v>0</v>
      </c>
    </row>
    <row r="109" spans="2:9" x14ac:dyDescent="0.3">
      <c r="B109" s="4">
        <v>0</v>
      </c>
      <c r="C109" s="5">
        <v>180</v>
      </c>
      <c r="D109" s="6">
        <v>9.1909999999999995E-3</v>
      </c>
      <c r="G109">
        <f t="shared" si="2"/>
        <v>0</v>
      </c>
      <c r="H109">
        <v>1</v>
      </c>
      <c r="I109">
        <f t="shared" si="3"/>
        <v>9.1909999999999995E-3</v>
      </c>
    </row>
    <row r="110" spans="2:9" x14ac:dyDescent="0.3">
      <c r="B110" s="4">
        <v>5</v>
      </c>
      <c r="C110" s="5">
        <v>0</v>
      </c>
      <c r="D110" s="6">
        <v>9.672E-3</v>
      </c>
      <c r="G110">
        <f t="shared" si="2"/>
        <v>5</v>
      </c>
      <c r="H110">
        <v>1</v>
      </c>
      <c r="I110">
        <f t="shared" si="3"/>
        <v>9.672E-3</v>
      </c>
    </row>
    <row r="111" spans="2:9" x14ac:dyDescent="0.3">
      <c r="B111" s="4">
        <v>5</v>
      </c>
      <c r="C111" s="5">
        <v>180</v>
      </c>
      <c r="D111" s="6">
        <v>8.8760000000000002E-3</v>
      </c>
      <c r="G111">
        <f t="shared" si="2"/>
        <v>-5</v>
      </c>
      <c r="H111">
        <v>1</v>
      </c>
      <c r="I111">
        <f t="shared" si="3"/>
        <v>8.8760000000000002E-3</v>
      </c>
    </row>
    <row r="112" spans="2:9" x14ac:dyDescent="0.3">
      <c r="B112" s="4">
        <v>10</v>
      </c>
      <c r="C112" s="5">
        <v>0</v>
      </c>
      <c r="D112" s="6">
        <v>1.0392999999999999E-2</v>
      </c>
      <c r="G112">
        <f t="shared" si="2"/>
        <v>10</v>
      </c>
      <c r="H112">
        <v>1</v>
      </c>
      <c r="I112">
        <f t="shared" si="3"/>
        <v>1.0392999999999999E-2</v>
      </c>
    </row>
    <row r="113" spans="2:9" x14ac:dyDescent="0.3">
      <c r="B113" s="4">
        <v>10</v>
      </c>
      <c r="C113" s="5">
        <v>180</v>
      </c>
      <c r="D113" s="6">
        <v>8.6309999999999998E-3</v>
      </c>
      <c r="G113">
        <f t="shared" si="2"/>
        <v>-10</v>
      </c>
      <c r="H113">
        <v>1</v>
      </c>
      <c r="I113">
        <f t="shared" si="3"/>
        <v>8.6309999999999998E-3</v>
      </c>
    </row>
    <row r="114" spans="2:9" x14ac:dyDescent="0.3">
      <c r="B114" s="4">
        <v>15</v>
      </c>
      <c r="C114" s="5">
        <v>0</v>
      </c>
      <c r="D114" s="6">
        <v>1.1287999999999999E-2</v>
      </c>
      <c r="G114">
        <f t="shared" si="2"/>
        <v>15</v>
      </c>
      <c r="H114">
        <v>1</v>
      </c>
      <c r="I114">
        <f t="shared" si="3"/>
        <v>1.1287999999999999E-2</v>
      </c>
    </row>
    <row r="115" spans="2:9" x14ac:dyDescent="0.3">
      <c r="B115" s="4">
        <v>15</v>
      </c>
      <c r="C115" s="5">
        <v>180</v>
      </c>
      <c r="D115" s="6">
        <v>8.4860000000000005E-3</v>
      </c>
      <c r="G115">
        <f t="shared" si="2"/>
        <v>-15</v>
      </c>
      <c r="H115">
        <v>1</v>
      </c>
      <c r="I115">
        <f t="shared" si="3"/>
        <v>8.4860000000000005E-3</v>
      </c>
    </row>
    <row r="116" spans="2:9" x14ac:dyDescent="0.3">
      <c r="B116" s="4">
        <v>20</v>
      </c>
      <c r="C116" s="5">
        <v>0</v>
      </c>
      <c r="D116" s="6">
        <v>1.2581999999999999E-2</v>
      </c>
      <c r="G116">
        <f t="shared" si="2"/>
        <v>20</v>
      </c>
      <c r="H116">
        <v>1</v>
      </c>
      <c r="I116">
        <f t="shared" si="3"/>
        <v>1.2581999999999999E-2</v>
      </c>
    </row>
    <row r="117" spans="2:9" x14ac:dyDescent="0.3">
      <c r="B117" s="4">
        <v>20</v>
      </c>
      <c r="C117" s="5">
        <v>180</v>
      </c>
      <c r="D117" s="6">
        <v>8.4489999999999999E-3</v>
      </c>
      <c r="G117">
        <f t="shared" si="2"/>
        <v>-20</v>
      </c>
      <c r="H117">
        <v>1</v>
      </c>
      <c r="I117">
        <f t="shared" si="3"/>
        <v>8.4489999999999999E-3</v>
      </c>
    </row>
    <row r="118" spans="2:9" x14ac:dyDescent="0.3">
      <c r="B118" s="4">
        <v>25</v>
      </c>
      <c r="C118" s="5">
        <v>0</v>
      </c>
      <c r="D118" s="6">
        <v>1.4354E-2</v>
      </c>
      <c r="G118">
        <f t="shared" si="2"/>
        <v>25</v>
      </c>
      <c r="H118">
        <v>1</v>
      </c>
      <c r="I118">
        <f t="shared" si="3"/>
        <v>1.4354E-2</v>
      </c>
    </row>
    <row r="119" spans="2:9" x14ac:dyDescent="0.3">
      <c r="B119" s="4">
        <v>25</v>
      </c>
      <c r="C119" s="5">
        <v>180</v>
      </c>
      <c r="D119" s="6">
        <v>8.4790000000000004E-3</v>
      </c>
      <c r="G119">
        <f t="shared" si="2"/>
        <v>-25</v>
      </c>
      <c r="H119">
        <v>1</v>
      </c>
      <c r="I119">
        <f t="shared" si="3"/>
        <v>8.4790000000000004E-3</v>
      </c>
    </row>
    <row r="120" spans="2:9" x14ac:dyDescent="0.3">
      <c r="B120" s="4">
        <v>30</v>
      </c>
      <c r="C120" s="5">
        <v>0</v>
      </c>
      <c r="D120" s="6">
        <v>1.6806000000000001E-2</v>
      </c>
      <c r="G120">
        <f t="shared" si="2"/>
        <v>30</v>
      </c>
      <c r="H120">
        <v>1</v>
      </c>
      <c r="I120">
        <f t="shared" si="3"/>
        <v>1.6806000000000001E-2</v>
      </c>
    </row>
    <row r="121" spans="2:9" x14ac:dyDescent="0.3">
      <c r="B121" s="4">
        <v>30</v>
      </c>
      <c r="C121" s="5">
        <v>180</v>
      </c>
      <c r="D121" s="6">
        <v>8.5970000000000005E-3</v>
      </c>
      <c r="G121">
        <f t="shared" si="2"/>
        <v>-30</v>
      </c>
      <c r="H121">
        <v>1</v>
      </c>
      <c r="I121">
        <f t="shared" si="3"/>
        <v>8.5970000000000005E-3</v>
      </c>
    </row>
    <row r="122" spans="2:9" x14ac:dyDescent="0.3">
      <c r="B122" s="4">
        <v>35</v>
      </c>
      <c r="C122" s="5">
        <v>0</v>
      </c>
      <c r="D122" s="6">
        <v>2.0315E-2</v>
      </c>
      <c r="G122">
        <f t="shared" si="2"/>
        <v>35</v>
      </c>
      <c r="H122">
        <v>1</v>
      </c>
      <c r="I122">
        <f t="shared" si="3"/>
        <v>2.0315E-2</v>
      </c>
    </row>
    <row r="123" spans="2:9" x14ac:dyDescent="0.3">
      <c r="B123" s="4">
        <v>35</v>
      </c>
      <c r="C123" s="5">
        <v>180</v>
      </c>
      <c r="D123" s="6">
        <v>8.8319999999999996E-3</v>
      </c>
      <c r="G123">
        <f t="shared" si="2"/>
        <v>-35</v>
      </c>
      <c r="H123">
        <v>1</v>
      </c>
      <c r="I123">
        <f t="shared" si="3"/>
        <v>8.8319999999999996E-3</v>
      </c>
    </row>
    <row r="124" spans="2:9" x14ac:dyDescent="0.3">
      <c r="B124" s="4">
        <v>40</v>
      </c>
      <c r="C124" s="5">
        <v>0</v>
      </c>
      <c r="D124" s="6">
        <v>2.5502E-2</v>
      </c>
      <c r="G124">
        <f t="shared" si="2"/>
        <v>40</v>
      </c>
      <c r="H124">
        <v>1</v>
      </c>
      <c r="I124">
        <f t="shared" si="3"/>
        <v>2.5502E-2</v>
      </c>
    </row>
    <row r="125" spans="2:9" x14ac:dyDescent="0.3">
      <c r="B125" s="4">
        <v>40</v>
      </c>
      <c r="C125" s="5">
        <v>180</v>
      </c>
      <c r="D125" s="6">
        <v>9.1660000000000005E-3</v>
      </c>
      <c r="G125">
        <f t="shared" si="2"/>
        <v>-40</v>
      </c>
      <c r="H125">
        <v>1</v>
      </c>
      <c r="I125">
        <f t="shared" si="3"/>
        <v>9.1660000000000005E-3</v>
      </c>
    </row>
    <row r="126" spans="2:9" x14ac:dyDescent="0.3">
      <c r="B126" s="4">
        <v>45</v>
      </c>
      <c r="C126" s="5">
        <v>0</v>
      </c>
      <c r="D126" s="6">
        <v>3.3250000000000002E-2</v>
      </c>
      <c r="G126">
        <f t="shared" si="2"/>
        <v>45</v>
      </c>
      <c r="H126">
        <v>1</v>
      </c>
      <c r="I126">
        <f t="shared" si="3"/>
        <v>3.3250000000000002E-2</v>
      </c>
    </row>
    <row r="127" spans="2:9" x14ac:dyDescent="0.3">
      <c r="B127" s="4">
        <v>45</v>
      </c>
      <c r="C127" s="5">
        <v>180</v>
      </c>
      <c r="D127" s="6">
        <v>9.672E-3</v>
      </c>
      <c r="G127">
        <f t="shared" si="2"/>
        <v>-45</v>
      </c>
      <c r="H127">
        <v>1</v>
      </c>
      <c r="I127">
        <f t="shared" si="3"/>
        <v>9.672E-3</v>
      </c>
    </row>
    <row r="128" spans="2:9" x14ac:dyDescent="0.3">
      <c r="B128" s="4">
        <v>50</v>
      </c>
      <c r="C128" s="5">
        <v>0</v>
      </c>
      <c r="D128" s="6">
        <v>4.5199000000000003E-2</v>
      </c>
      <c r="G128">
        <f t="shared" si="2"/>
        <v>50</v>
      </c>
      <c r="H128">
        <v>1</v>
      </c>
      <c r="I128">
        <f t="shared" si="3"/>
        <v>4.5199000000000003E-2</v>
      </c>
    </row>
    <row r="129" spans="2:9" x14ac:dyDescent="0.3">
      <c r="B129" s="4">
        <v>50</v>
      </c>
      <c r="C129" s="5">
        <v>180</v>
      </c>
      <c r="D129" s="6">
        <v>1.0343E-2</v>
      </c>
      <c r="G129">
        <f t="shared" si="2"/>
        <v>-50</v>
      </c>
      <c r="H129">
        <v>1</v>
      </c>
      <c r="I129">
        <f t="shared" si="3"/>
        <v>1.0343E-2</v>
      </c>
    </row>
    <row r="130" spans="2:9" x14ac:dyDescent="0.3">
      <c r="B130" s="4">
        <v>55</v>
      </c>
      <c r="C130" s="5">
        <v>0</v>
      </c>
      <c r="D130" s="6">
        <v>6.5110000000000001E-2</v>
      </c>
      <c r="G130">
        <f t="shared" si="2"/>
        <v>55</v>
      </c>
      <c r="H130">
        <v>1</v>
      </c>
      <c r="I130">
        <f t="shared" si="3"/>
        <v>6.5110000000000001E-2</v>
      </c>
    </row>
    <row r="131" spans="2:9" x14ac:dyDescent="0.3">
      <c r="B131" s="4">
        <v>55</v>
      </c>
      <c r="C131" s="5">
        <v>180</v>
      </c>
      <c r="D131" s="6">
        <v>1.1328E-2</v>
      </c>
      <c r="G131">
        <f t="shared" si="2"/>
        <v>-55</v>
      </c>
      <c r="H131">
        <v>1</v>
      </c>
      <c r="I131">
        <f t="shared" si="3"/>
        <v>1.1328E-2</v>
      </c>
    </row>
    <row r="132" spans="2:9" x14ac:dyDescent="0.3">
      <c r="B132" s="4">
        <v>60</v>
      </c>
      <c r="C132" s="5">
        <v>0</v>
      </c>
      <c r="D132" s="6">
        <v>9.8334000000000005E-2</v>
      </c>
      <c r="G132">
        <f t="shared" si="2"/>
        <v>60</v>
      </c>
      <c r="H132">
        <v>1</v>
      </c>
      <c r="I132">
        <f t="shared" si="3"/>
        <v>9.8334000000000005E-2</v>
      </c>
    </row>
    <row r="133" spans="2:9" x14ac:dyDescent="0.3">
      <c r="B133" s="4">
        <v>60</v>
      </c>
      <c r="C133" s="5">
        <v>180</v>
      </c>
      <c r="D133" s="6">
        <v>1.2389000000000001E-2</v>
      </c>
      <c r="G133">
        <f t="shared" si="2"/>
        <v>-60</v>
      </c>
      <c r="H133">
        <v>1</v>
      </c>
      <c r="I133">
        <f t="shared" si="3"/>
        <v>1.2389000000000001E-2</v>
      </c>
    </row>
    <row r="134" spans="2:9" x14ac:dyDescent="0.3">
      <c r="B134" s="4">
        <v>65</v>
      </c>
      <c r="C134" s="5">
        <v>0</v>
      </c>
      <c r="D134" s="6">
        <v>0.15698899999999999</v>
      </c>
      <c r="G134">
        <f t="shared" si="2"/>
        <v>65</v>
      </c>
      <c r="H134">
        <v>1</v>
      </c>
      <c r="I134">
        <f t="shared" si="3"/>
        <v>0.15698899999999999</v>
      </c>
    </row>
    <row r="135" spans="2:9" x14ac:dyDescent="0.3">
      <c r="B135" s="4">
        <v>70</v>
      </c>
      <c r="C135" s="5">
        <v>0</v>
      </c>
      <c r="D135" s="6">
        <v>0.26776299999999997</v>
      </c>
      <c r="G135">
        <f t="shared" si="2"/>
        <v>70</v>
      </c>
      <c r="H135">
        <v>1</v>
      </c>
      <c r="I135">
        <f t="shared" si="3"/>
        <v>0.26776299999999997</v>
      </c>
    </row>
    <row r="136" spans="2:9" x14ac:dyDescent="0.3">
      <c r="B136" s="4">
        <v>75</v>
      </c>
      <c r="C136" s="5">
        <v>0</v>
      </c>
      <c r="D136" s="6">
        <v>0.48294599999999999</v>
      </c>
      <c r="G136">
        <f t="shared" si="2"/>
        <v>75</v>
      </c>
      <c r="H136">
        <v>1</v>
      </c>
      <c r="I136">
        <f t="shared" si="3"/>
        <v>0.48294599999999999</v>
      </c>
    </row>
    <row r="137" spans="2:9" x14ac:dyDescent="0.3">
      <c r="B137" s="4">
        <v>80</v>
      </c>
      <c r="C137" s="5">
        <v>0</v>
      </c>
      <c r="D137" s="6">
        <v>1.1512819999999999</v>
      </c>
      <c r="G137">
        <f t="shared" si="2"/>
        <v>80</v>
      </c>
      <c r="H137">
        <v>1</v>
      </c>
      <c r="I137">
        <f t="shared" si="3"/>
        <v>1.1512819999999999</v>
      </c>
    </row>
    <row r="138" spans="2:9" x14ac:dyDescent="0.3">
      <c r="B138" s="4">
        <v>80</v>
      </c>
      <c r="C138" s="5">
        <v>180</v>
      </c>
      <c r="D138" s="6">
        <v>1.25E-4</v>
      </c>
      <c r="G138">
        <f t="shared" ref="G138:G140" si="4">IF(C138=0, B138, IF(C138=180, -B138, 270))</f>
        <v>-80</v>
      </c>
      <c r="H138">
        <v>1</v>
      </c>
      <c r="I138">
        <f t="shared" si="3"/>
        <v>1.25E-4</v>
      </c>
    </row>
    <row r="139" spans="2:9" x14ac:dyDescent="0.3">
      <c r="B139" s="4">
        <v>85</v>
      </c>
      <c r="C139" s="5">
        <v>0</v>
      </c>
      <c r="D139" s="6">
        <v>5.1E-5</v>
      </c>
      <c r="G139">
        <f t="shared" si="4"/>
        <v>85</v>
      </c>
      <c r="H139">
        <v>1</v>
      </c>
      <c r="I139">
        <f t="shared" ref="I139:I140" si="5">D139*H139</f>
        <v>5.1E-5</v>
      </c>
    </row>
    <row r="140" spans="2:9" ht="15" thickBot="1" x14ac:dyDescent="0.35">
      <c r="B140" s="7">
        <v>85</v>
      </c>
      <c r="C140" s="8">
        <v>180</v>
      </c>
      <c r="D140" s="9">
        <v>0.52665399999999996</v>
      </c>
      <c r="G140">
        <f t="shared" si="4"/>
        <v>-85</v>
      </c>
      <c r="H140">
        <v>1</v>
      </c>
      <c r="I140">
        <f t="shared" si="5"/>
        <v>0.52665399999999996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Krell, Jacob Patrick - (jacobpkrell)</dc:creator>
  <cp:lastModifiedBy>Krell, Jacob Patrick - (jacobpkrell)</cp:lastModifiedBy>
  <dcterms:created xsi:type="dcterms:W3CDTF">2026-06-18T23:57:37Z</dcterms:created>
  <dcterms:modified xsi:type="dcterms:W3CDTF">2026-06-19T00:20:48Z</dcterms:modified>
</cp:coreProperties>
</file>