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kep\Documents\Optics_local\UofA\bsdf-tools\data\processed\fred\blacklab\aeroglaze\"/>
    </mc:Choice>
  </mc:AlternateContent>
  <xr:revisionPtr revIDLastSave="0" documentId="13_ncr:1_{7C5D56EB-B520-454F-BE10-8C960B33302F}" xr6:coauthVersionLast="47" xr6:coauthVersionMax="47" xr10:uidLastSave="{00000000-0000-0000-0000-000000000000}"/>
  <bookViews>
    <workbookView xWindow="-108" yWindow="-108" windowWidth="23256" windowHeight="13896" activeTab="2" xr2:uid="{75D13B3B-B2D0-44F7-AE1C-95D2F708A540}"/>
  </bookViews>
  <sheets>
    <sheet name="fred" sheetId="1" r:id="rId1"/>
    <sheet name="raw" sheetId="2" r:id="rId2"/>
    <sheet name="not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" i="2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K27" i="2" s="1"/>
  <c r="J28" i="2"/>
  <c r="K28" i="2" s="1"/>
  <c r="J29" i="2"/>
  <c r="K29" i="2" s="1"/>
  <c r="L29" i="2" s="1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K43" i="2" s="1"/>
  <c r="J44" i="2"/>
  <c r="K44" i="2" s="1"/>
  <c r="J45" i="2"/>
  <c r="K45" i="2" s="1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K59" i="2" s="1"/>
  <c r="J60" i="2"/>
  <c r="K60" i="2" s="1"/>
  <c r="J61" i="2"/>
  <c r="K61" i="2" s="1"/>
  <c r="L61" i="2" s="1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K75" i="2" s="1"/>
  <c r="J76" i="2"/>
  <c r="K76" i="2" s="1"/>
  <c r="J77" i="2"/>
  <c r="K77" i="2" s="1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K91" i="2" s="1"/>
  <c r="J92" i="2"/>
  <c r="K92" i="2" s="1"/>
  <c r="J93" i="2"/>
  <c r="K93" i="2" s="1"/>
  <c r="L93" i="2" s="1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K107" i="2" s="1"/>
  <c r="J108" i="2"/>
  <c r="K108" i="2" s="1"/>
  <c r="J109" i="2"/>
  <c r="K109" i="2" s="1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K123" i="2" s="1"/>
  <c r="J124" i="2"/>
  <c r="K124" i="2" s="1"/>
  <c r="J125" i="2"/>
  <c r="K125" i="2" s="1"/>
  <c r="L125" i="2" s="1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K139" i="2" s="1"/>
  <c r="J140" i="2"/>
  <c r="K140" i="2" s="1"/>
  <c r="K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8" i="2"/>
  <c r="K79" i="2"/>
  <c r="K80" i="2"/>
  <c r="K81" i="2"/>
  <c r="K82" i="2"/>
  <c r="K83" i="2"/>
  <c r="K84" i="2"/>
  <c r="K85" i="2"/>
  <c r="K86" i="2"/>
  <c r="K87" i="2"/>
  <c r="K88" i="2"/>
  <c r="K89" i="2"/>
  <c r="L89" i="2" s="1"/>
  <c r="K90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0" i="1"/>
  <c r="G40" i="1"/>
  <c r="G4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0" i="1"/>
  <c r="L59" i="2" l="1"/>
  <c r="L60" i="2"/>
  <c r="L124" i="2"/>
  <c r="L68" i="2"/>
  <c r="L92" i="2"/>
  <c r="L91" i="2"/>
  <c r="L15" i="2"/>
  <c r="L138" i="2"/>
  <c r="L26" i="2"/>
  <c r="L137" i="2"/>
  <c r="L121" i="2"/>
  <c r="L41" i="2"/>
  <c r="L25" i="2"/>
  <c r="L22" i="2"/>
  <c r="L42" i="2"/>
  <c r="L53" i="2"/>
  <c r="L122" i="2"/>
  <c r="L58" i="2"/>
  <c r="L120" i="2"/>
  <c r="L87" i="2"/>
  <c r="L117" i="2"/>
  <c r="L99" i="2"/>
  <c r="L83" i="2"/>
  <c r="L24" i="2"/>
  <c r="L55" i="2"/>
  <c r="L118" i="2"/>
  <c r="L98" i="2"/>
  <c r="L66" i="2"/>
  <c r="L73" i="2"/>
  <c r="L34" i="2"/>
  <c r="L36" i="2"/>
  <c r="L106" i="2"/>
  <c r="L40" i="2"/>
  <c r="L119" i="2"/>
  <c r="L23" i="2"/>
  <c r="L133" i="2"/>
  <c r="L129" i="2"/>
  <c r="L113" i="2"/>
  <c r="L97" i="2"/>
  <c r="L95" i="2"/>
  <c r="L56" i="2"/>
  <c r="L33" i="2"/>
  <c r="L19" i="2"/>
  <c r="L115" i="2"/>
  <c r="L32" i="2"/>
  <c r="L16" i="2"/>
  <c r="L90" i="2"/>
  <c r="L39" i="2"/>
  <c r="L134" i="2"/>
  <c r="L94" i="2"/>
  <c r="L112" i="2"/>
  <c r="L127" i="2"/>
  <c r="L38" i="2"/>
  <c r="L96" i="2"/>
  <c r="L103" i="2"/>
  <c r="L80" i="2"/>
  <c r="L70" i="2"/>
  <c r="L74" i="2"/>
  <c r="L136" i="2"/>
  <c r="L135" i="2"/>
  <c r="L71" i="2"/>
  <c r="L54" i="2"/>
  <c r="L69" i="2"/>
  <c r="L130" i="2"/>
  <c r="L128" i="2"/>
  <c r="L126" i="2"/>
  <c r="L31" i="2"/>
  <c r="L88" i="2"/>
  <c r="L67" i="2"/>
  <c r="L30" i="2"/>
  <c r="L105" i="2"/>
  <c r="L52" i="2"/>
  <c r="L47" i="2"/>
  <c r="L104" i="2"/>
  <c r="L51" i="2"/>
  <c r="L79" i="2"/>
  <c r="L50" i="2"/>
  <c r="L28" i="2"/>
  <c r="L27" i="2"/>
  <c r="L102" i="2"/>
  <c r="L100" i="2"/>
  <c r="L84" i="2"/>
  <c r="L63" i="2"/>
  <c r="L62" i="2"/>
  <c r="L82" i="2"/>
  <c r="L111" i="2"/>
  <c r="L86" i="2"/>
  <c r="L101" i="2"/>
  <c r="L48" i="2"/>
  <c r="L81" i="2"/>
  <c r="L49" i="2"/>
  <c r="L64" i="2"/>
  <c r="L123" i="2"/>
  <c r="L65" i="2"/>
  <c r="L85" i="2"/>
  <c r="L132" i="2"/>
  <c r="L116" i="2"/>
  <c r="L37" i="2"/>
  <c r="L21" i="2"/>
  <c r="L20" i="2"/>
  <c r="L72" i="2"/>
  <c r="L131" i="2"/>
  <c r="L57" i="2"/>
  <c r="L114" i="2"/>
  <c r="L35" i="2"/>
  <c r="L18" i="2"/>
  <c r="L17" i="2"/>
</calcChain>
</file>

<file path=xl/sharedStrings.xml><?xml version="1.0" encoding="utf-8"?>
<sst xmlns="http://schemas.openxmlformats.org/spreadsheetml/2006/main" count="25" uniqueCount="25">
  <si>
    <t>type bsdf_data</t>
  </si>
  <si>
    <t>format angles=deg bsdf=value scale=1</t>
  </si>
  <si>
    <t>FRED data for Aeroglaze validation test. (file: "aeroglaze_20260608_vnir_validation_test_630o79nm.txt")</t>
  </si>
  <si>
    <t>Scatter Polar:</t>
  </si>
  <si>
    <t>Adjusted BRDF:</t>
  </si>
  <si>
    <t>Factor (for debugging):</t>
  </si>
  <si>
    <t>BRF Values</t>
  </si>
  <si>
    <t>aeroglaze sample with only 631 nm wavelenth</t>
  </si>
  <si>
    <t>Measurements taken on Jun 08 2026 by Jacob</t>
  </si>
  <si>
    <t>BRF values calculated with F:\data\sorted\data_processing_programs\blacklab_rf_calculator_MATLAB\Black_Lab_BRF_v6.m using 0/45 configuration</t>
  </si>
  <si>
    <t>NIST BRF values linearly interpolated from F:\data\sorted\data_processing_programs\blacklab_rf_calculator_MATLAB\NIST RF files\RSG_working_NIST_standard\NIST_291181-Revised_24477-1-1_0-45_Extended.txt</t>
  </si>
  <si>
    <t>src_z</t>
  </si>
  <si>
    <t>src_a</t>
  </si>
  <si>
    <t>view_z</t>
  </si>
  <si>
    <t>view_a</t>
  </si>
  <si>
    <t>630.79nm</t>
  </si>
  <si>
    <t>factor</t>
  </si>
  <si>
    <t>BRDF</t>
  </si>
  <si>
    <t>scatter polar</t>
  </si>
  <si>
    <t>BRDF normalized</t>
  </si>
  <si>
    <t>note how (for eg AOI_10) the plot implies the specular angle was filtered out of the angle set …......... LIKELY THAT THE ANGLE SET CODE HAS SIGN ERROR IN ITS FILTERING</t>
  </si>
  <si>
    <t>DEBUG NOTES</t>
  </si>
  <si>
    <t>but then why does other side seem to be where "bunching up" happens (meaning BRF increases near -90 instead of +90 … expecting to be on same side as specular)</t>
  </si>
  <si>
    <t>0.85 and 1.1 should be reference NIST values (otherwsise strange / shading / etc)</t>
  </si>
  <si>
    <t>BRF is reflectance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</si>
</sst>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Blacklab validation</a:t>
            </a:r>
            <a:r>
              <a:rPr lang="en-US" baseline="0"/>
              <a:t> of in-plane Aeroglaze at 631nm (2026/06/08)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AOI_10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fred!$G$10:$G$41</c:f>
              <c:numCache>
                <c:formatCode>General</c:formatCode>
                <c:ptCount val="3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-20</c:v>
                </c:pt>
                <c:pt idx="6">
                  <c:v>25</c:v>
                </c:pt>
                <c:pt idx="7">
                  <c:v>-25</c:v>
                </c:pt>
                <c:pt idx="8">
                  <c:v>30</c:v>
                </c:pt>
                <c:pt idx="9">
                  <c:v>-30</c:v>
                </c:pt>
                <c:pt idx="10">
                  <c:v>35</c:v>
                </c:pt>
                <c:pt idx="11">
                  <c:v>-35</c:v>
                </c:pt>
                <c:pt idx="12">
                  <c:v>40</c:v>
                </c:pt>
                <c:pt idx="13">
                  <c:v>-40</c:v>
                </c:pt>
                <c:pt idx="14">
                  <c:v>45</c:v>
                </c:pt>
                <c:pt idx="15">
                  <c:v>-45</c:v>
                </c:pt>
                <c:pt idx="16">
                  <c:v>50</c:v>
                </c:pt>
                <c:pt idx="17">
                  <c:v>-50</c:v>
                </c:pt>
                <c:pt idx="18">
                  <c:v>55</c:v>
                </c:pt>
                <c:pt idx="19">
                  <c:v>-55</c:v>
                </c:pt>
                <c:pt idx="20">
                  <c:v>60</c:v>
                </c:pt>
                <c:pt idx="21">
                  <c:v>-60</c:v>
                </c:pt>
                <c:pt idx="22">
                  <c:v>65</c:v>
                </c:pt>
                <c:pt idx="23">
                  <c:v>-65</c:v>
                </c:pt>
                <c:pt idx="24">
                  <c:v>70</c:v>
                </c:pt>
                <c:pt idx="25">
                  <c:v>-70</c:v>
                </c:pt>
                <c:pt idx="26">
                  <c:v>75</c:v>
                </c:pt>
                <c:pt idx="27">
                  <c:v>-75</c:v>
                </c:pt>
                <c:pt idx="28">
                  <c:v>80</c:v>
                </c:pt>
                <c:pt idx="29">
                  <c:v>-80</c:v>
                </c:pt>
                <c:pt idx="30">
                  <c:v>85</c:v>
                </c:pt>
                <c:pt idx="31">
                  <c:v>-85</c:v>
                </c:pt>
              </c:numCache>
            </c:numRef>
          </c:xVal>
          <c:yVal>
            <c:numRef>
              <c:f>fred!$I$10:$I$41</c:f>
              <c:numCache>
                <c:formatCode>General</c:formatCode>
                <c:ptCount val="32"/>
                <c:pt idx="0">
                  <c:v>9.3229999999999997E-3</c:v>
                </c:pt>
                <c:pt idx="1">
                  <c:v>9.1459999999999996E-3</c:v>
                </c:pt>
                <c:pt idx="2">
                  <c:v>9.0399999999999994E-3</c:v>
                </c:pt>
                <c:pt idx="3">
                  <c:v>8.9259999999999999E-3</c:v>
                </c:pt>
                <c:pt idx="4">
                  <c:v>8.8940000000000009E-3</c:v>
                </c:pt>
                <c:pt idx="5">
                  <c:v>9.2420000000000002E-3</c:v>
                </c:pt>
                <c:pt idx="6">
                  <c:v>8.8999999999999999E-3</c:v>
                </c:pt>
                <c:pt idx="7">
                  <c:v>9.0930000000000004E-3</c:v>
                </c:pt>
                <c:pt idx="8">
                  <c:v>8.8610000000000008E-3</c:v>
                </c:pt>
                <c:pt idx="9">
                  <c:v>8.8999999999999999E-3</c:v>
                </c:pt>
                <c:pt idx="10">
                  <c:v>8.8470000000000007E-3</c:v>
                </c:pt>
                <c:pt idx="11">
                  <c:v>8.7729999999999995E-3</c:v>
                </c:pt>
                <c:pt idx="12">
                  <c:v>8.9020000000000002E-3</c:v>
                </c:pt>
                <c:pt idx="13">
                  <c:v>8.6879999999999995E-3</c:v>
                </c:pt>
                <c:pt idx="14">
                  <c:v>9.0150000000000004E-3</c:v>
                </c:pt>
                <c:pt idx="15">
                  <c:v>8.6199999999999992E-3</c:v>
                </c:pt>
                <c:pt idx="16">
                  <c:v>9.1730000000000006E-3</c:v>
                </c:pt>
                <c:pt idx="17">
                  <c:v>8.5649999999999997E-3</c:v>
                </c:pt>
                <c:pt idx="18">
                  <c:v>9.3570000000000007E-3</c:v>
                </c:pt>
                <c:pt idx="19">
                  <c:v>8.5579999999999996E-3</c:v>
                </c:pt>
                <c:pt idx="20">
                  <c:v>9.6259999999999991E-3</c:v>
                </c:pt>
                <c:pt idx="21">
                  <c:v>8.5500000000000003E-3</c:v>
                </c:pt>
                <c:pt idx="22">
                  <c:v>9.9439999999999997E-3</c:v>
                </c:pt>
                <c:pt idx="23">
                  <c:v>8.5690000000000002E-3</c:v>
                </c:pt>
                <c:pt idx="24">
                  <c:v>1.0333E-2</c:v>
                </c:pt>
                <c:pt idx="25">
                  <c:v>8.5609999999999992E-3</c:v>
                </c:pt>
                <c:pt idx="26">
                  <c:v>1.0685999999999999E-2</c:v>
                </c:pt>
                <c:pt idx="27">
                  <c:v>8.5129999999999997E-3</c:v>
                </c:pt>
                <c:pt idx="28">
                  <c:v>1.07E-4</c:v>
                </c:pt>
                <c:pt idx="29">
                  <c:v>5.1999999999999997E-5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E-4CA7-9FF5-8EEA6598C044}"/>
            </c:ext>
          </c:extLst>
        </c:ser>
        <c:ser>
          <c:idx val="1"/>
          <c:order val="1"/>
          <c:tx>
            <c:v>AOI_30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fred!$G$43:$G$74</c:f>
              <c:numCache>
                <c:formatCode>General</c:formatCode>
                <c:ptCount val="32"/>
                <c:pt idx="0">
                  <c:v>0</c:v>
                </c:pt>
                <c:pt idx="1">
                  <c:v>5</c:v>
                </c:pt>
                <c:pt idx="2">
                  <c:v>-5</c:v>
                </c:pt>
                <c:pt idx="3">
                  <c:v>10</c:v>
                </c:pt>
                <c:pt idx="4">
                  <c:v>-10</c:v>
                </c:pt>
                <c:pt idx="5">
                  <c:v>15</c:v>
                </c:pt>
                <c:pt idx="6">
                  <c:v>-15</c:v>
                </c:pt>
                <c:pt idx="7">
                  <c:v>20</c:v>
                </c:pt>
                <c:pt idx="8">
                  <c:v>-20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-40</c:v>
                </c:pt>
                <c:pt idx="14">
                  <c:v>45</c:v>
                </c:pt>
                <c:pt idx="15">
                  <c:v>-45</c:v>
                </c:pt>
                <c:pt idx="16">
                  <c:v>50</c:v>
                </c:pt>
                <c:pt idx="17">
                  <c:v>-50</c:v>
                </c:pt>
                <c:pt idx="18">
                  <c:v>55</c:v>
                </c:pt>
                <c:pt idx="19">
                  <c:v>-55</c:v>
                </c:pt>
                <c:pt idx="20">
                  <c:v>60</c:v>
                </c:pt>
                <c:pt idx="21">
                  <c:v>-60</c:v>
                </c:pt>
                <c:pt idx="22">
                  <c:v>65</c:v>
                </c:pt>
                <c:pt idx="23">
                  <c:v>-65</c:v>
                </c:pt>
                <c:pt idx="24">
                  <c:v>70</c:v>
                </c:pt>
                <c:pt idx="25">
                  <c:v>-70</c:v>
                </c:pt>
                <c:pt idx="26">
                  <c:v>75</c:v>
                </c:pt>
                <c:pt idx="27">
                  <c:v>-75</c:v>
                </c:pt>
                <c:pt idx="28">
                  <c:v>80</c:v>
                </c:pt>
                <c:pt idx="29">
                  <c:v>-80</c:v>
                </c:pt>
                <c:pt idx="30">
                  <c:v>85</c:v>
                </c:pt>
                <c:pt idx="31">
                  <c:v>-85</c:v>
                </c:pt>
              </c:numCache>
            </c:numRef>
          </c:xVal>
          <c:yVal>
            <c:numRef>
              <c:f>fred!$I$43:$I$74</c:f>
              <c:numCache>
                <c:formatCode>General</c:formatCode>
                <c:ptCount val="32"/>
                <c:pt idx="0">
                  <c:v>8.7749999999999998E-3</c:v>
                </c:pt>
                <c:pt idx="1">
                  <c:v>8.7939999999999997E-3</c:v>
                </c:pt>
                <c:pt idx="2">
                  <c:v>8.8299999999999993E-3</c:v>
                </c:pt>
                <c:pt idx="3">
                  <c:v>8.8489999999999992E-3</c:v>
                </c:pt>
                <c:pt idx="4">
                  <c:v>8.8920000000000006E-3</c:v>
                </c:pt>
                <c:pt idx="5">
                  <c:v>8.9239999999999996E-3</c:v>
                </c:pt>
                <c:pt idx="6">
                  <c:v>9.0449999999999992E-3</c:v>
                </c:pt>
                <c:pt idx="7">
                  <c:v>9.0709999999999992E-3</c:v>
                </c:pt>
                <c:pt idx="8">
                  <c:v>9.2619999999999994E-3</c:v>
                </c:pt>
                <c:pt idx="9">
                  <c:v>9.2519999999999998E-3</c:v>
                </c:pt>
                <c:pt idx="10">
                  <c:v>9.4380000000000002E-3</c:v>
                </c:pt>
                <c:pt idx="11">
                  <c:v>9.7680000000000006E-3</c:v>
                </c:pt>
                <c:pt idx="12">
                  <c:v>1.0239E-2</c:v>
                </c:pt>
                <c:pt idx="13">
                  <c:v>9.4000000000000004E-3</c:v>
                </c:pt>
                <c:pt idx="14">
                  <c:v>1.0781000000000001E-2</c:v>
                </c:pt>
                <c:pt idx="15">
                  <c:v>9.195E-3</c:v>
                </c:pt>
                <c:pt idx="16">
                  <c:v>1.1448E-2</c:v>
                </c:pt>
                <c:pt idx="17">
                  <c:v>9.0200000000000002E-3</c:v>
                </c:pt>
                <c:pt idx="18">
                  <c:v>1.2302E-2</c:v>
                </c:pt>
                <c:pt idx="19">
                  <c:v>8.9180000000000006E-3</c:v>
                </c:pt>
                <c:pt idx="20">
                  <c:v>1.3421000000000001E-2</c:v>
                </c:pt>
                <c:pt idx="21">
                  <c:v>8.7760000000000008E-3</c:v>
                </c:pt>
                <c:pt idx="22">
                  <c:v>1.4867E-2</c:v>
                </c:pt>
                <c:pt idx="23">
                  <c:v>8.6580000000000008E-3</c:v>
                </c:pt>
                <c:pt idx="24">
                  <c:v>1.6684999999999998E-2</c:v>
                </c:pt>
                <c:pt idx="25">
                  <c:v>8.5109999999999995E-3</c:v>
                </c:pt>
                <c:pt idx="26">
                  <c:v>1.8807000000000001E-2</c:v>
                </c:pt>
                <c:pt idx="27">
                  <c:v>8.3169999999999997E-3</c:v>
                </c:pt>
                <c:pt idx="28">
                  <c:v>3.48E-4</c:v>
                </c:pt>
                <c:pt idx="29">
                  <c:v>5.1E-5</c:v>
                </c:pt>
                <c:pt idx="30">
                  <c:v>9.9999999999999995E-7</c:v>
                </c:pt>
                <c:pt idx="31">
                  <c:v>9.9999999999999995E-7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CE-4CA7-9FF5-8EEA6598C044}"/>
            </c:ext>
          </c:extLst>
        </c:ser>
        <c:ser>
          <c:idx val="2"/>
          <c:order val="2"/>
          <c:tx>
            <c:v>AOI_50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fred!$G$76:$G$107</c:f>
              <c:numCache>
                <c:formatCode>General</c:formatCode>
                <c:ptCount val="32"/>
                <c:pt idx="0">
                  <c:v>0</c:v>
                </c:pt>
                <c:pt idx="1">
                  <c:v>5</c:v>
                </c:pt>
                <c:pt idx="2">
                  <c:v>-5</c:v>
                </c:pt>
                <c:pt idx="3">
                  <c:v>10</c:v>
                </c:pt>
                <c:pt idx="4">
                  <c:v>-10</c:v>
                </c:pt>
                <c:pt idx="5">
                  <c:v>15</c:v>
                </c:pt>
                <c:pt idx="6">
                  <c:v>-15</c:v>
                </c:pt>
                <c:pt idx="7">
                  <c:v>20</c:v>
                </c:pt>
                <c:pt idx="8">
                  <c:v>-20</c:v>
                </c:pt>
                <c:pt idx="9">
                  <c:v>25</c:v>
                </c:pt>
                <c:pt idx="10">
                  <c:v>-25</c:v>
                </c:pt>
                <c:pt idx="11">
                  <c:v>30</c:v>
                </c:pt>
                <c:pt idx="12">
                  <c:v>-30</c:v>
                </c:pt>
                <c:pt idx="13">
                  <c:v>35</c:v>
                </c:pt>
                <c:pt idx="14">
                  <c:v>-35</c:v>
                </c:pt>
                <c:pt idx="15">
                  <c:v>40</c:v>
                </c:pt>
                <c:pt idx="16">
                  <c:v>-40</c:v>
                </c:pt>
                <c:pt idx="17">
                  <c:v>45</c:v>
                </c:pt>
                <c:pt idx="18">
                  <c:v>50</c:v>
                </c:pt>
                <c:pt idx="19">
                  <c:v>55</c:v>
                </c:pt>
                <c:pt idx="20">
                  <c:v>60</c:v>
                </c:pt>
                <c:pt idx="21">
                  <c:v>-60</c:v>
                </c:pt>
                <c:pt idx="22">
                  <c:v>65</c:v>
                </c:pt>
                <c:pt idx="23">
                  <c:v>-65</c:v>
                </c:pt>
                <c:pt idx="24">
                  <c:v>70</c:v>
                </c:pt>
                <c:pt idx="25">
                  <c:v>-70</c:v>
                </c:pt>
                <c:pt idx="26">
                  <c:v>75</c:v>
                </c:pt>
                <c:pt idx="27">
                  <c:v>-75</c:v>
                </c:pt>
                <c:pt idx="28">
                  <c:v>80</c:v>
                </c:pt>
                <c:pt idx="29">
                  <c:v>-80</c:v>
                </c:pt>
                <c:pt idx="30">
                  <c:v>85</c:v>
                </c:pt>
                <c:pt idx="31">
                  <c:v>-85</c:v>
                </c:pt>
              </c:numCache>
            </c:numRef>
          </c:xVal>
          <c:yVal>
            <c:numRef>
              <c:f>fred!$I$76:$I$107</c:f>
              <c:numCache>
                <c:formatCode>General</c:formatCode>
                <c:ptCount val="32"/>
                <c:pt idx="0">
                  <c:v>8.7379999999999992E-3</c:v>
                </c:pt>
                <c:pt idx="1">
                  <c:v>8.8979999999999997E-3</c:v>
                </c:pt>
                <c:pt idx="2">
                  <c:v>8.6269999999999993E-3</c:v>
                </c:pt>
                <c:pt idx="3">
                  <c:v>9.1710000000000003E-3</c:v>
                </c:pt>
                <c:pt idx="4">
                  <c:v>8.5540000000000008E-3</c:v>
                </c:pt>
                <c:pt idx="5">
                  <c:v>9.5350000000000001E-3</c:v>
                </c:pt>
                <c:pt idx="6">
                  <c:v>8.5880000000000001E-3</c:v>
                </c:pt>
                <c:pt idx="7">
                  <c:v>9.9830000000000006E-3</c:v>
                </c:pt>
                <c:pt idx="8">
                  <c:v>8.6820000000000005E-3</c:v>
                </c:pt>
                <c:pt idx="9">
                  <c:v>1.0557E-2</c:v>
                </c:pt>
                <c:pt idx="10">
                  <c:v>8.8109999999999994E-3</c:v>
                </c:pt>
                <c:pt idx="11">
                  <c:v>1.1448E-2</c:v>
                </c:pt>
                <c:pt idx="12">
                  <c:v>9.0449999999999992E-3</c:v>
                </c:pt>
                <c:pt idx="13">
                  <c:v>1.2596E-2</c:v>
                </c:pt>
                <c:pt idx="14">
                  <c:v>9.3810000000000004E-3</c:v>
                </c:pt>
                <c:pt idx="15">
                  <c:v>1.4033E-2</c:v>
                </c:pt>
                <c:pt idx="16">
                  <c:v>9.8049999999999995E-3</c:v>
                </c:pt>
                <c:pt idx="17">
                  <c:v>1.6039000000000001E-2</c:v>
                </c:pt>
                <c:pt idx="18">
                  <c:v>1.8693999999999999E-2</c:v>
                </c:pt>
                <c:pt idx="19">
                  <c:v>2.2370999999999999E-2</c:v>
                </c:pt>
                <c:pt idx="20">
                  <c:v>2.7507E-2</c:v>
                </c:pt>
                <c:pt idx="21">
                  <c:v>1.0638999999999999E-2</c:v>
                </c:pt>
                <c:pt idx="22">
                  <c:v>3.4832000000000002E-2</c:v>
                </c:pt>
                <c:pt idx="23">
                  <c:v>1.0411999999999999E-2</c:v>
                </c:pt>
                <c:pt idx="24">
                  <c:v>4.5037000000000001E-2</c:v>
                </c:pt>
                <c:pt idx="25">
                  <c:v>1.0155000000000001E-2</c:v>
                </c:pt>
                <c:pt idx="26">
                  <c:v>5.8821999999999999E-2</c:v>
                </c:pt>
                <c:pt idx="27">
                  <c:v>9.8189999999999996E-3</c:v>
                </c:pt>
                <c:pt idx="28">
                  <c:v>1.673E-3</c:v>
                </c:pt>
                <c:pt idx="29">
                  <c:v>6.0000000000000002E-5</c:v>
                </c:pt>
                <c:pt idx="30">
                  <c:v>0</c:v>
                </c:pt>
                <c:pt idx="31">
                  <c:v>1.9999999999999999E-6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CE-4CA7-9FF5-8EEA6598C044}"/>
            </c:ext>
          </c:extLst>
        </c:ser>
        <c:ser>
          <c:idx val="3"/>
          <c:order val="3"/>
          <c:tx>
            <c:v>AOI_70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fred!$G$109:$G$140</c:f>
              <c:numCache>
                <c:formatCode>General</c:formatCode>
                <c:ptCount val="32"/>
                <c:pt idx="0">
                  <c:v>0</c:v>
                </c:pt>
                <c:pt idx="1">
                  <c:v>5</c:v>
                </c:pt>
                <c:pt idx="2">
                  <c:v>-5</c:v>
                </c:pt>
                <c:pt idx="3">
                  <c:v>10</c:v>
                </c:pt>
                <c:pt idx="4">
                  <c:v>-10</c:v>
                </c:pt>
                <c:pt idx="5">
                  <c:v>15</c:v>
                </c:pt>
                <c:pt idx="6">
                  <c:v>-15</c:v>
                </c:pt>
                <c:pt idx="7">
                  <c:v>20</c:v>
                </c:pt>
                <c:pt idx="8">
                  <c:v>-20</c:v>
                </c:pt>
                <c:pt idx="9">
                  <c:v>25</c:v>
                </c:pt>
                <c:pt idx="10">
                  <c:v>-25</c:v>
                </c:pt>
                <c:pt idx="11">
                  <c:v>30</c:v>
                </c:pt>
                <c:pt idx="12">
                  <c:v>-30</c:v>
                </c:pt>
                <c:pt idx="13">
                  <c:v>35</c:v>
                </c:pt>
                <c:pt idx="14">
                  <c:v>-35</c:v>
                </c:pt>
                <c:pt idx="15">
                  <c:v>40</c:v>
                </c:pt>
                <c:pt idx="16">
                  <c:v>-40</c:v>
                </c:pt>
                <c:pt idx="17">
                  <c:v>45</c:v>
                </c:pt>
                <c:pt idx="18">
                  <c:v>-45</c:v>
                </c:pt>
                <c:pt idx="19">
                  <c:v>50</c:v>
                </c:pt>
                <c:pt idx="20">
                  <c:v>-50</c:v>
                </c:pt>
                <c:pt idx="21">
                  <c:v>55</c:v>
                </c:pt>
                <c:pt idx="22">
                  <c:v>-55</c:v>
                </c:pt>
                <c:pt idx="23">
                  <c:v>60</c:v>
                </c:pt>
                <c:pt idx="24">
                  <c:v>-60</c:v>
                </c:pt>
                <c:pt idx="25">
                  <c:v>65</c:v>
                </c:pt>
                <c:pt idx="26">
                  <c:v>70</c:v>
                </c:pt>
                <c:pt idx="27">
                  <c:v>75</c:v>
                </c:pt>
                <c:pt idx="28">
                  <c:v>80</c:v>
                </c:pt>
                <c:pt idx="29">
                  <c:v>-80</c:v>
                </c:pt>
                <c:pt idx="30">
                  <c:v>85</c:v>
                </c:pt>
                <c:pt idx="31">
                  <c:v>-85</c:v>
                </c:pt>
              </c:numCache>
            </c:numRef>
          </c:xVal>
          <c:yVal>
            <c:numRef>
              <c:f>fred!$I$109:$I$140</c:f>
              <c:numCache>
                <c:formatCode>General</c:formatCode>
                <c:ptCount val="32"/>
                <c:pt idx="0">
                  <c:v>9.1909999999999995E-3</c:v>
                </c:pt>
                <c:pt idx="1">
                  <c:v>9.672E-3</c:v>
                </c:pt>
                <c:pt idx="2">
                  <c:v>8.8760000000000002E-3</c:v>
                </c:pt>
                <c:pt idx="3">
                  <c:v>1.0392999999999999E-2</c:v>
                </c:pt>
                <c:pt idx="4">
                  <c:v>8.6309999999999998E-3</c:v>
                </c:pt>
                <c:pt idx="5">
                  <c:v>1.1287999999999999E-2</c:v>
                </c:pt>
                <c:pt idx="6">
                  <c:v>8.4860000000000005E-3</c:v>
                </c:pt>
                <c:pt idx="7">
                  <c:v>1.2581999999999999E-2</c:v>
                </c:pt>
                <c:pt idx="8">
                  <c:v>8.4489999999999999E-3</c:v>
                </c:pt>
                <c:pt idx="9">
                  <c:v>1.4354E-2</c:v>
                </c:pt>
                <c:pt idx="10">
                  <c:v>8.4790000000000004E-3</c:v>
                </c:pt>
                <c:pt idx="11">
                  <c:v>1.6806000000000001E-2</c:v>
                </c:pt>
                <c:pt idx="12">
                  <c:v>8.5970000000000005E-3</c:v>
                </c:pt>
                <c:pt idx="13">
                  <c:v>2.0315E-2</c:v>
                </c:pt>
                <c:pt idx="14">
                  <c:v>8.8319999999999996E-3</c:v>
                </c:pt>
                <c:pt idx="15">
                  <c:v>2.5502E-2</c:v>
                </c:pt>
                <c:pt idx="16">
                  <c:v>9.1660000000000005E-3</c:v>
                </c:pt>
                <c:pt idx="17">
                  <c:v>3.3250000000000002E-2</c:v>
                </c:pt>
                <c:pt idx="18">
                  <c:v>9.672E-3</c:v>
                </c:pt>
                <c:pt idx="19">
                  <c:v>4.5199000000000003E-2</c:v>
                </c:pt>
                <c:pt idx="20">
                  <c:v>1.0343E-2</c:v>
                </c:pt>
                <c:pt idx="21">
                  <c:v>6.5110000000000001E-2</c:v>
                </c:pt>
                <c:pt idx="22">
                  <c:v>1.1328E-2</c:v>
                </c:pt>
                <c:pt idx="23">
                  <c:v>9.8334000000000005E-2</c:v>
                </c:pt>
                <c:pt idx="24">
                  <c:v>1.2389000000000001E-2</c:v>
                </c:pt>
                <c:pt idx="25">
                  <c:v>0.15698899999999999</c:v>
                </c:pt>
                <c:pt idx="26">
                  <c:v>0.26776299999999997</c:v>
                </c:pt>
                <c:pt idx="27">
                  <c:v>0.48294599999999999</c:v>
                </c:pt>
                <c:pt idx="28">
                  <c:v>1.1512819999999999</c:v>
                </c:pt>
                <c:pt idx="29">
                  <c:v>1.25E-4</c:v>
                </c:pt>
                <c:pt idx="30">
                  <c:v>5.1E-5</c:v>
                </c:pt>
                <c:pt idx="31">
                  <c:v>0.52665399999999996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CE-4CA7-9FF5-8EEA6598C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65839"/>
        <c:axId val="1029164399"/>
      </c:scatterChart>
      <c:valAx>
        <c:axId val="10291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In-plane</a:t>
                </a:r>
                <a:r>
                  <a:rPr lang="en-US" baseline="0"/>
                  <a:t> scatter polar angle [deg]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4399"/>
        <c:crosses val="autoZero"/>
        <c:crossBetween val="midCat"/>
      </c:valAx>
      <c:valAx>
        <c:axId val="1029164399"/>
        <c:scaling>
          <c:orientation val="minMax"/>
          <c:max val="1.6000000000000004E-2"/>
          <c:min val="8.0000000000000019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BRDF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5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Blacklab validation</a:t>
            </a:r>
            <a:r>
              <a:rPr lang="en-US" baseline="0"/>
              <a:t> of in-plane Aeroglaze at 631nm (2026/06/08)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AOI_10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raw!$I$13:$I$44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20</c:v>
                </c:pt>
                <c:pt idx="19">
                  <c:v>25</c:v>
                </c:pt>
                <c:pt idx="20">
                  <c:v>30</c:v>
                </c:pt>
                <c:pt idx="21">
                  <c:v>35</c:v>
                </c:pt>
                <c:pt idx="22">
                  <c:v>40</c:v>
                </c:pt>
                <c:pt idx="23">
                  <c:v>45</c:v>
                </c:pt>
                <c:pt idx="24">
                  <c:v>50</c:v>
                </c:pt>
                <c:pt idx="25">
                  <c:v>55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raw!$K$13:$K$44</c:f>
              <c:numCache>
                <c:formatCode>General</c:formatCode>
                <c:ptCount val="32"/>
                <c:pt idx="0">
                  <c:v>9.9999999999999995E-7</c:v>
                </c:pt>
                <c:pt idx="1">
                  <c:v>3.3599999999999998E-4</c:v>
                </c:pt>
                <c:pt idx="2">
                  <c:v>3.3570999999999997E-2</c:v>
                </c:pt>
                <c:pt idx="3">
                  <c:v>3.2462999999999999E-2</c:v>
                </c:pt>
                <c:pt idx="4">
                  <c:v>3.1241000000000001E-2</c:v>
                </c:pt>
                <c:pt idx="5">
                  <c:v>3.024E-2</c:v>
                </c:pt>
                <c:pt idx="6">
                  <c:v>2.9395000000000001E-2</c:v>
                </c:pt>
                <c:pt idx="7">
                  <c:v>2.8819000000000001E-2</c:v>
                </c:pt>
                <c:pt idx="8">
                  <c:v>2.8323000000000001E-2</c:v>
                </c:pt>
                <c:pt idx="9">
                  <c:v>2.7966999999999999E-2</c:v>
                </c:pt>
                <c:pt idx="10">
                  <c:v>2.7795E-2</c:v>
                </c:pt>
                <c:pt idx="11">
                  <c:v>2.7838999999999999E-2</c:v>
                </c:pt>
                <c:pt idx="12">
                  <c:v>2.7959999999999999E-2</c:v>
                </c:pt>
                <c:pt idx="13">
                  <c:v>2.7942000000000002E-2</c:v>
                </c:pt>
                <c:pt idx="14">
                  <c:v>2.8041E-2</c:v>
                </c:pt>
                <c:pt idx="15">
                  <c:v>2.8400000000000002E-2</c:v>
                </c:pt>
                <c:pt idx="16">
                  <c:v>2.8733999999999999E-2</c:v>
                </c:pt>
                <c:pt idx="17">
                  <c:v>2.9288999999999999E-2</c:v>
                </c:pt>
                <c:pt idx="18">
                  <c:v>2.9034000000000001E-2</c:v>
                </c:pt>
                <c:pt idx="19">
                  <c:v>2.8565E-2</c:v>
                </c:pt>
                <c:pt idx="20">
                  <c:v>2.7959999999999999E-2</c:v>
                </c:pt>
                <c:pt idx="21">
                  <c:v>2.7560999999999999E-2</c:v>
                </c:pt>
                <c:pt idx="22">
                  <c:v>2.7293999999999999E-2</c:v>
                </c:pt>
                <c:pt idx="23">
                  <c:v>2.708E-2</c:v>
                </c:pt>
                <c:pt idx="24">
                  <c:v>2.6908000000000001E-2</c:v>
                </c:pt>
                <c:pt idx="25">
                  <c:v>2.6886E-2</c:v>
                </c:pt>
                <c:pt idx="26">
                  <c:v>2.6860999999999999E-2</c:v>
                </c:pt>
                <c:pt idx="27">
                  <c:v>2.6918999999999998E-2</c:v>
                </c:pt>
                <c:pt idx="28">
                  <c:v>2.6894000000000001E-2</c:v>
                </c:pt>
                <c:pt idx="29">
                  <c:v>2.6742999999999999E-2</c:v>
                </c:pt>
                <c:pt idx="30">
                  <c:v>1.63E-4</c:v>
                </c:pt>
                <c:pt idx="31">
                  <c:v>9.9999999999999995E-7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C3-4DB6-AD73-C136B3A7D861}"/>
            </c:ext>
          </c:extLst>
        </c:ser>
        <c:ser>
          <c:idx val="1"/>
          <c:order val="1"/>
          <c:tx>
            <c:v>AOI_30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raw!$I$45:$I$76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40</c:v>
                </c:pt>
                <c:pt idx="23">
                  <c:v>45</c:v>
                </c:pt>
                <c:pt idx="24">
                  <c:v>50</c:v>
                </c:pt>
                <c:pt idx="25">
                  <c:v>55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raw!$K$45:$K$76</c:f>
              <c:numCache>
                <c:formatCode>General</c:formatCode>
                <c:ptCount val="32"/>
                <c:pt idx="0">
                  <c:v>3.9999999999999998E-6</c:v>
                </c:pt>
                <c:pt idx="1">
                  <c:v>1.093E-3</c:v>
                </c:pt>
                <c:pt idx="2">
                  <c:v>5.9083999999999998E-2</c:v>
                </c:pt>
                <c:pt idx="3">
                  <c:v>5.2417999999999999E-2</c:v>
                </c:pt>
                <c:pt idx="4">
                  <c:v>4.6706999999999999E-2</c:v>
                </c:pt>
                <c:pt idx="5">
                  <c:v>4.2162999999999999E-2</c:v>
                </c:pt>
                <c:pt idx="6">
                  <c:v>3.8649000000000003E-2</c:v>
                </c:pt>
                <c:pt idx="7">
                  <c:v>3.5965999999999998E-2</c:v>
                </c:pt>
                <c:pt idx="8">
                  <c:v>3.3870999999999998E-2</c:v>
                </c:pt>
                <c:pt idx="9">
                  <c:v>3.2166E-2</c:v>
                </c:pt>
                <c:pt idx="10">
                  <c:v>3.0686999999999999E-2</c:v>
                </c:pt>
                <c:pt idx="11">
                  <c:v>2.9651E-2</c:v>
                </c:pt>
                <c:pt idx="12">
                  <c:v>2.9066000000000002E-2</c:v>
                </c:pt>
                <c:pt idx="13">
                  <c:v>2.8497999999999999E-2</c:v>
                </c:pt>
                <c:pt idx="14">
                  <c:v>2.8035000000000001E-2</c:v>
                </c:pt>
                <c:pt idx="15">
                  <c:v>2.7799000000000001E-2</c:v>
                </c:pt>
                <c:pt idx="16">
                  <c:v>2.7626999999999999E-2</c:v>
                </c:pt>
                <c:pt idx="17">
                  <c:v>2.7566E-2</c:v>
                </c:pt>
                <c:pt idx="18">
                  <c:v>2.7740999999999998E-2</c:v>
                </c:pt>
                <c:pt idx="19">
                  <c:v>2.7935000000000001E-2</c:v>
                </c:pt>
                <c:pt idx="20">
                  <c:v>2.8416E-2</c:v>
                </c:pt>
                <c:pt idx="21">
                  <c:v>2.9097000000000001E-2</c:v>
                </c:pt>
                <c:pt idx="22">
                  <c:v>2.9530000000000001E-2</c:v>
                </c:pt>
                <c:pt idx="23">
                  <c:v>2.8888E-2</c:v>
                </c:pt>
                <c:pt idx="24">
                  <c:v>2.8336E-2</c:v>
                </c:pt>
                <c:pt idx="25">
                  <c:v>2.8015999999999999E-2</c:v>
                </c:pt>
                <c:pt idx="26">
                  <c:v>2.7570999999999998E-2</c:v>
                </c:pt>
                <c:pt idx="27">
                  <c:v>2.7200999999999999E-2</c:v>
                </c:pt>
                <c:pt idx="28">
                  <c:v>2.6738000000000001E-2</c:v>
                </c:pt>
                <c:pt idx="29">
                  <c:v>2.6127999999999998E-2</c:v>
                </c:pt>
                <c:pt idx="30">
                  <c:v>1.5899999999999999E-4</c:v>
                </c:pt>
                <c:pt idx="31">
                  <c:v>1.9999999999999999E-6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C3-4DB6-AD73-C136B3A7D861}"/>
            </c:ext>
          </c:extLst>
        </c:ser>
        <c:ser>
          <c:idx val="2"/>
          <c:order val="2"/>
          <c:tx>
            <c:v>AOI_50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raw!$I$77:$I$108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25</c:v>
                </c:pt>
                <c:pt idx="23">
                  <c:v>30</c:v>
                </c:pt>
                <c:pt idx="24">
                  <c:v>35</c:v>
                </c:pt>
                <c:pt idx="25">
                  <c:v>40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raw!$K$77:$K$108</c:f>
              <c:numCache>
                <c:formatCode>General</c:formatCode>
                <c:ptCount val="32"/>
                <c:pt idx="0">
                  <c:v>9.9999999999999995E-7</c:v>
                </c:pt>
                <c:pt idx="1">
                  <c:v>5.2560000000000003E-3</c:v>
                </c:pt>
                <c:pt idx="2">
                  <c:v>0.18479499999999999</c:v>
                </c:pt>
                <c:pt idx="3">
                  <c:v>0.141487</c:v>
                </c:pt>
                <c:pt idx="4">
                  <c:v>0.109427</c:v>
                </c:pt>
                <c:pt idx="5">
                  <c:v>8.6415000000000006E-2</c:v>
                </c:pt>
                <c:pt idx="6">
                  <c:v>7.0278999999999994E-2</c:v>
                </c:pt>
                <c:pt idx="7">
                  <c:v>5.8729999999999997E-2</c:v>
                </c:pt>
                <c:pt idx="8">
                  <c:v>5.0389000000000003E-2</c:v>
                </c:pt>
                <c:pt idx="9">
                  <c:v>4.4084999999999999E-2</c:v>
                </c:pt>
                <c:pt idx="10">
                  <c:v>3.9572000000000003E-2</c:v>
                </c:pt>
                <c:pt idx="11">
                  <c:v>3.5965999999999998E-2</c:v>
                </c:pt>
                <c:pt idx="12">
                  <c:v>3.3166000000000001E-2</c:v>
                </c:pt>
                <c:pt idx="13">
                  <c:v>3.1361E-2</c:v>
                </c:pt>
                <c:pt idx="14">
                  <c:v>2.9956E-2</c:v>
                </c:pt>
                <c:pt idx="15">
                  <c:v>2.8812000000000001E-2</c:v>
                </c:pt>
                <c:pt idx="16">
                  <c:v>2.7954E-2</c:v>
                </c:pt>
                <c:pt idx="17">
                  <c:v>2.7452000000000001E-2</c:v>
                </c:pt>
                <c:pt idx="18">
                  <c:v>2.7104E-2</c:v>
                </c:pt>
                <c:pt idx="19">
                  <c:v>2.6873999999999999E-2</c:v>
                </c:pt>
                <c:pt idx="20">
                  <c:v>2.6980000000000001E-2</c:v>
                </c:pt>
                <c:pt idx="21">
                  <c:v>2.7275000000000001E-2</c:v>
                </c:pt>
                <c:pt idx="22">
                  <c:v>2.7681999999999998E-2</c:v>
                </c:pt>
                <c:pt idx="23">
                  <c:v>2.8416E-2</c:v>
                </c:pt>
                <c:pt idx="24">
                  <c:v>2.9472000000000002E-2</c:v>
                </c:pt>
                <c:pt idx="25">
                  <c:v>3.0802E-2</c:v>
                </c:pt>
                <c:pt idx="26">
                  <c:v>3.3422E-2</c:v>
                </c:pt>
                <c:pt idx="27">
                  <c:v>3.2709000000000002E-2</c:v>
                </c:pt>
                <c:pt idx="28">
                  <c:v>3.1904000000000002E-2</c:v>
                </c:pt>
                <c:pt idx="29">
                  <c:v>3.0845999999999998E-2</c:v>
                </c:pt>
                <c:pt idx="30">
                  <c:v>1.9000000000000001E-4</c:v>
                </c:pt>
                <c:pt idx="31">
                  <c:v>5.0000000000000004E-6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C3-4DB6-AD73-C136B3A7D861}"/>
            </c:ext>
          </c:extLst>
        </c:ser>
        <c:ser>
          <c:idx val="3"/>
          <c:order val="3"/>
          <c:tx>
            <c:v>AOI_70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raw!$I$109:$I$140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25</c:v>
                </c:pt>
                <c:pt idx="23">
                  <c:v>30</c:v>
                </c:pt>
                <c:pt idx="24">
                  <c:v>35</c:v>
                </c:pt>
                <c:pt idx="25">
                  <c:v>40</c:v>
                </c:pt>
                <c:pt idx="26">
                  <c:v>45</c:v>
                </c:pt>
                <c:pt idx="27">
                  <c:v>50</c:v>
                </c:pt>
                <c:pt idx="28">
                  <c:v>55</c:v>
                </c:pt>
                <c:pt idx="29">
                  <c:v>60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raw!$K$109:$K$140</c:f>
              <c:numCache>
                <c:formatCode>General</c:formatCode>
                <c:ptCount val="32"/>
                <c:pt idx="0">
                  <c:v>1.6000000000000001E-4</c:v>
                </c:pt>
                <c:pt idx="1">
                  <c:v>3.6168589999999998</c:v>
                </c:pt>
                <c:pt idx="2">
                  <c:v>1.5172190000000001</c:v>
                </c:pt>
                <c:pt idx="3">
                  <c:v>0.84120200000000001</c:v>
                </c:pt>
                <c:pt idx="4">
                  <c:v>0.493197</c:v>
                </c:pt>
                <c:pt idx="5">
                  <c:v>0.30892599999999998</c:v>
                </c:pt>
                <c:pt idx="6">
                  <c:v>0.20454800000000001</c:v>
                </c:pt>
                <c:pt idx="7">
                  <c:v>0.14199700000000001</c:v>
                </c:pt>
                <c:pt idx="8">
                  <c:v>0.104459</c:v>
                </c:pt>
                <c:pt idx="9">
                  <c:v>8.0117999999999995E-2</c:v>
                </c:pt>
                <c:pt idx="10">
                  <c:v>6.3823000000000005E-2</c:v>
                </c:pt>
                <c:pt idx="11">
                  <c:v>5.2796999999999997E-2</c:v>
                </c:pt>
                <c:pt idx="12">
                  <c:v>4.5093000000000001E-2</c:v>
                </c:pt>
                <c:pt idx="13">
                  <c:v>3.9525999999999999E-2</c:v>
                </c:pt>
                <c:pt idx="14">
                  <c:v>3.5463000000000001E-2</c:v>
                </c:pt>
                <c:pt idx="15">
                  <c:v>3.2649999999999998E-2</c:v>
                </c:pt>
                <c:pt idx="16">
                  <c:v>3.0384999999999999E-2</c:v>
                </c:pt>
                <c:pt idx="17">
                  <c:v>2.8874E-2</c:v>
                </c:pt>
                <c:pt idx="18">
                  <c:v>2.7885E-2</c:v>
                </c:pt>
                <c:pt idx="19">
                  <c:v>2.7115E-2</c:v>
                </c:pt>
                <c:pt idx="20">
                  <c:v>2.6658999999999999E-2</c:v>
                </c:pt>
                <c:pt idx="21">
                  <c:v>2.6544000000000002E-2</c:v>
                </c:pt>
                <c:pt idx="22">
                  <c:v>2.6638999999999999E-2</c:v>
                </c:pt>
                <c:pt idx="23">
                  <c:v>2.7008999999999998E-2</c:v>
                </c:pt>
                <c:pt idx="24">
                  <c:v>2.7746E-2</c:v>
                </c:pt>
                <c:pt idx="25">
                  <c:v>2.8795999999999999E-2</c:v>
                </c:pt>
                <c:pt idx="26">
                  <c:v>3.0384000000000001E-2</c:v>
                </c:pt>
                <c:pt idx="27">
                  <c:v>3.2493000000000001E-2</c:v>
                </c:pt>
                <c:pt idx="28">
                  <c:v>3.5588000000000002E-2</c:v>
                </c:pt>
                <c:pt idx="29">
                  <c:v>3.8920999999999997E-2</c:v>
                </c:pt>
                <c:pt idx="30">
                  <c:v>3.9199999999999999E-4</c:v>
                </c:pt>
                <c:pt idx="31">
                  <c:v>1.6545319999999999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C3-4DB6-AD73-C136B3A7D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65839"/>
        <c:axId val="1029164399"/>
      </c:scatterChart>
      <c:valAx>
        <c:axId val="10291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In-plane</a:t>
                </a:r>
                <a:r>
                  <a:rPr lang="en-US" baseline="0"/>
                  <a:t> scatter polar angle [deg]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4399"/>
        <c:crosses val="autoZero"/>
        <c:crossBetween val="midCat"/>
      </c:valAx>
      <c:valAx>
        <c:axId val="1029164399"/>
        <c:scaling>
          <c:orientation val="minMax"/>
          <c:max val="0.15000000000000002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BRDF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5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[NORMALIZED]</a:t>
            </a:r>
            <a:r>
              <a:rPr lang="en-US" baseline="0"/>
              <a:t> </a:t>
            </a:r>
            <a:r>
              <a:rPr lang="en-US"/>
              <a:t>Blacklab validation</a:t>
            </a:r>
            <a:r>
              <a:rPr lang="en-US" baseline="0"/>
              <a:t> of in-plane Aeroglaze at 631nm (2026/06/08)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AOI_10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raw!$I$13:$I$44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20</c:v>
                </c:pt>
                <c:pt idx="19">
                  <c:v>25</c:v>
                </c:pt>
                <c:pt idx="20">
                  <c:v>30</c:v>
                </c:pt>
                <c:pt idx="21">
                  <c:v>35</c:v>
                </c:pt>
                <c:pt idx="22">
                  <c:v>40</c:v>
                </c:pt>
                <c:pt idx="23">
                  <c:v>45</c:v>
                </c:pt>
                <c:pt idx="24">
                  <c:v>50</c:v>
                </c:pt>
                <c:pt idx="25">
                  <c:v>55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raw!$L$13:$L$44</c:f>
              <c:numCache>
                <c:formatCode>General</c:formatCode>
                <c:ptCount val="32"/>
                <c:pt idx="2">
                  <c:v>1</c:v>
                </c:pt>
                <c:pt idx="3">
                  <c:v>0.83772700644405418</c:v>
                </c:pt>
                <c:pt idx="4">
                  <c:v>0.65875805506737017</c:v>
                </c:pt>
                <c:pt idx="5">
                  <c:v>0.5121558289396605</c:v>
                </c:pt>
                <c:pt idx="6">
                  <c:v>0.38840070298769808</c:v>
                </c:pt>
                <c:pt idx="7">
                  <c:v>0.30404217926186328</c:v>
                </c:pt>
                <c:pt idx="8">
                  <c:v>0.23140011716461661</c:v>
                </c:pt>
                <c:pt idx="9">
                  <c:v>0.17926186291739893</c:v>
                </c:pt>
                <c:pt idx="10">
                  <c:v>0.15407147041593458</c:v>
                </c:pt>
                <c:pt idx="11">
                  <c:v>0.16051552431165791</c:v>
                </c:pt>
                <c:pt idx="12">
                  <c:v>0.17823667252489744</c:v>
                </c:pt>
                <c:pt idx="13">
                  <c:v>0.17560046865846554</c:v>
                </c:pt>
                <c:pt idx="14">
                  <c:v>0.19009958992384315</c:v>
                </c:pt>
                <c:pt idx="15">
                  <c:v>0.24267721148213281</c:v>
                </c:pt>
                <c:pt idx="16">
                  <c:v>0.29159343878148808</c:v>
                </c:pt>
                <c:pt idx="17">
                  <c:v>0.37287639132981848</c:v>
                </c:pt>
                <c:pt idx="18">
                  <c:v>0.33553016988869394</c:v>
                </c:pt>
                <c:pt idx="19">
                  <c:v>0.26684241359109567</c:v>
                </c:pt>
                <c:pt idx="20">
                  <c:v>0.17823667252489744</c:v>
                </c:pt>
                <c:pt idx="21">
                  <c:v>0.11980082015231394</c:v>
                </c:pt>
                <c:pt idx="22">
                  <c:v>8.0697129466900941E-2</c:v>
                </c:pt>
                <c:pt idx="23">
                  <c:v>4.9355594610427746E-2</c:v>
                </c:pt>
                <c:pt idx="24">
                  <c:v>2.4165202108963387E-2</c:v>
                </c:pt>
                <c:pt idx="25">
                  <c:v>2.0943175161101467E-2</c:v>
                </c:pt>
                <c:pt idx="26">
                  <c:v>1.7281780902167559E-2</c:v>
                </c:pt>
                <c:pt idx="27">
                  <c:v>2.5776215582893839E-2</c:v>
                </c:pt>
                <c:pt idx="28">
                  <c:v>2.2114821323960442E-2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A4-4E16-A9D5-10BF481F0DCC}"/>
            </c:ext>
          </c:extLst>
        </c:ser>
        <c:ser>
          <c:idx val="1"/>
          <c:order val="1"/>
          <c:tx>
            <c:v>AOI_30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raw!$I$45:$I$76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40</c:v>
                </c:pt>
                <c:pt idx="23">
                  <c:v>45</c:v>
                </c:pt>
                <c:pt idx="24">
                  <c:v>50</c:v>
                </c:pt>
                <c:pt idx="25">
                  <c:v>55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raw!$L$45:$L$76</c:f>
              <c:numCache>
                <c:formatCode>General</c:formatCode>
                <c:ptCount val="32"/>
                <c:pt idx="2">
                  <c:v>1</c:v>
                </c:pt>
                <c:pt idx="3">
                  <c:v>0.79773030707610149</c:v>
                </c:pt>
                <c:pt idx="4">
                  <c:v>0.62443864546668282</c:v>
                </c:pt>
                <c:pt idx="5">
                  <c:v>0.48655783468867586</c:v>
                </c:pt>
                <c:pt idx="6">
                  <c:v>0.37993081684670482</c:v>
                </c:pt>
                <c:pt idx="7">
                  <c:v>0.29851923777157419</c:v>
                </c:pt>
                <c:pt idx="8">
                  <c:v>0.23494962980944289</c:v>
                </c:pt>
                <c:pt idx="9">
                  <c:v>0.18321398227940289</c:v>
                </c:pt>
                <c:pt idx="10">
                  <c:v>0.13833596310231827</c:v>
                </c:pt>
                <c:pt idx="11">
                  <c:v>0.10690010923655789</c:v>
                </c:pt>
                <c:pt idx="12">
                  <c:v>8.9149168588421021E-2</c:v>
                </c:pt>
                <c:pt idx="13">
                  <c:v>7.1914067241170068E-2</c:v>
                </c:pt>
                <c:pt idx="14">
                  <c:v>5.7865032164097663E-2</c:v>
                </c:pt>
                <c:pt idx="15">
                  <c:v>5.0703968928268069E-2</c:v>
                </c:pt>
                <c:pt idx="16">
                  <c:v>4.5484888942832882E-2</c:v>
                </c:pt>
                <c:pt idx="17">
                  <c:v>4.3633936157300698E-2</c:v>
                </c:pt>
                <c:pt idx="18">
                  <c:v>4.8944046607598005E-2</c:v>
                </c:pt>
                <c:pt idx="19">
                  <c:v>5.4830683335356324E-2</c:v>
                </c:pt>
                <c:pt idx="20">
                  <c:v>6.9425901201602191E-2</c:v>
                </c:pt>
                <c:pt idx="21">
                  <c:v>9.008981672533084E-2</c:v>
                </c:pt>
                <c:pt idx="22">
                  <c:v>0.10322854715378087</c:v>
                </c:pt>
                <c:pt idx="23">
                  <c:v>8.374802767326138E-2</c:v>
                </c:pt>
                <c:pt idx="24">
                  <c:v>6.6998422138609112E-2</c:v>
                </c:pt>
                <c:pt idx="25">
                  <c:v>5.7288505886636754E-2</c:v>
                </c:pt>
                <c:pt idx="26">
                  <c:v>4.3785653598737706E-2</c:v>
                </c:pt>
                <c:pt idx="27">
                  <c:v>3.2558562932394737E-2</c:v>
                </c:pt>
                <c:pt idx="28">
                  <c:v>1.8509527855322335E-2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A4-4E16-A9D5-10BF481F0DCC}"/>
            </c:ext>
          </c:extLst>
        </c:ser>
        <c:ser>
          <c:idx val="2"/>
          <c:order val="2"/>
          <c:tx>
            <c:v>AOI_50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raw!$I$77:$I$108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25</c:v>
                </c:pt>
                <c:pt idx="23">
                  <c:v>30</c:v>
                </c:pt>
                <c:pt idx="24">
                  <c:v>35</c:v>
                </c:pt>
                <c:pt idx="25">
                  <c:v>40</c:v>
                </c:pt>
                <c:pt idx="26">
                  <c:v>60</c:v>
                </c:pt>
                <c:pt idx="27">
                  <c:v>65</c:v>
                </c:pt>
                <c:pt idx="28">
                  <c:v>70</c:v>
                </c:pt>
                <c:pt idx="29">
                  <c:v>75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raw!$L$77:$L$108</c:f>
              <c:numCache>
                <c:formatCode>General</c:formatCode>
                <c:ptCount val="32"/>
                <c:pt idx="2">
                  <c:v>1</c:v>
                </c:pt>
                <c:pt idx="3">
                  <c:v>0.7257616149847077</c:v>
                </c:pt>
                <c:pt idx="4">
                  <c:v>0.52274871613021712</c:v>
                </c:pt>
                <c:pt idx="5">
                  <c:v>0.37703028729554661</c:v>
                </c:pt>
                <c:pt idx="6">
                  <c:v>0.27485261618150852</c:v>
                </c:pt>
                <c:pt idx="7">
                  <c:v>0.20172111372141768</c:v>
                </c:pt>
                <c:pt idx="8">
                  <c:v>0.14890356570690413</c:v>
                </c:pt>
                <c:pt idx="9">
                  <c:v>0.10898487218292692</c:v>
                </c:pt>
                <c:pt idx="10">
                  <c:v>8.040729225372184E-2</c:v>
                </c:pt>
                <c:pt idx="11">
                  <c:v>5.7573090342639681E-2</c:v>
                </c:pt>
                <c:pt idx="12">
                  <c:v>3.9842706163208209E-2</c:v>
                </c:pt>
                <c:pt idx="13">
                  <c:v>2.8412940647538971E-2</c:v>
                </c:pt>
                <c:pt idx="14">
                  <c:v>1.9516087157502814E-2</c:v>
                </c:pt>
                <c:pt idx="15">
                  <c:v>1.2271958764192238E-2</c:v>
                </c:pt>
                <c:pt idx="16">
                  <c:v>6.8388624692092958E-3</c:v>
                </c:pt>
                <c:pt idx="17">
                  <c:v>3.6600578770397997E-3</c:v>
                </c:pt>
                <c:pt idx="18">
                  <c:v>1.4564244147390218E-3</c:v>
                </c:pt>
                <c:pt idx="19">
                  <c:v>0</c:v>
                </c:pt>
                <c:pt idx="20">
                  <c:v>6.7122168679277581E-4</c:v>
                </c:pt>
                <c:pt idx="21">
                  <c:v>2.5392443056971659E-3</c:v>
                </c:pt>
                <c:pt idx="22">
                  <c:v>5.1164822917787994E-3</c:v>
                </c:pt>
                <c:pt idx="23">
                  <c:v>9.7643758588154966E-3</c:v>
                </c:pt>
                <c:pt idx="24">
                  <c:v>1.6451263606486809E-2</c:v>
                </c:pt>
                <c:pt idx="25">
                  <c:v>2.4873196091716752E-2</c:v>
                </c:pt>
                <c:pt idx="26">
                  <c:v>4.1463769859613371E-2</c:v>
                </c:pt>
                <c:pt idx="27">
                  <c:v>3.6948854173922428E-2</c:v>
                </c:pt>
                <c:pt idx="28">
                  <c:v>3.1851368722335877E-2</c:v>
                </c:pt>
                <c:pt idx="29">
                  <c:v>2.5151816414536385E-2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A4-4E16-A9D5-10BF481F0DCC}"/>
            </c:ext>
          </c:extLst>
        </c:ser>
        <c:ser>
          <c:idx val="3"/>
          <c:order val="3"/>
          <c:tx>
            <c:v>AOI_70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raw!$I$109:$I$140</c:f>
              <c:numCache>
                <c:formatCode>General</c:formatCode>
                <c:ptCount val="32"/>
                <c:pt idx="0">
                  <c:v>-85</c:v>
                </c:pt>
                <c:pt idx="1">
                  <c:v>-80</c:v>
                </c:pt>
                <c:pt idx="2">
                  <c:v>-75</c:v>
                </c:pt>
                <c:pt idx="3">
                  <c:v>-70</c:v>
                </c:pt>
                <c:pt idx="4">
                  <c:v>-65</c:v>
                </c:pt>
                <c:pt idx="5">
                  <c:v>-60</c:v>
                </c:pt>
                <c:pt idx="6">
                  <c:v>-55</c:v>
                </c:pt>
                <c:pt idx="7">
                  <c:v>-50</c:v>
                </c:pt>
                <c:pt idx="8">
                  <c:v>-45</c:v>
                </c:pt>
                <c:pt idx="9">
                  <c:v>-40</c:v>
                </c:pt>
                <c:pt idx="10">
                  <c:v>-35</c:v>
                </c:pt>
                <c:pt idx="11">
                  <c:v>-30</c:v>
                </c:pt>
                <c:pt idx="12">
                  <c:v>-25</c:v>
                </c:pt>
                <c:pt idx="13">
                  <c:v>-20</c:v>
                </c:pt>
                <c:pt idx="14">
                  <c:v>-15</c:v>
                </c:pt>
                <c:pt idx="15">
                  <c:v>-10</c:v>
                </c:pt>
                <c:pt idx="16">
                  <c:v>-5</c:v>
                </c:pt>
                <c:pt idx="17">
                  <c:v>0</c:v>
                </c:pt>
                <c:pt idx="18">
                  <c:v>5</c:v>
                </c:pt>
                <c:pt idx="19">
                  <c:v>10</c:v>
                </c:pt>
                <c:pt idx="20">
                  <c:v>15</c:v>
                </c:pt>
                <c:pt idx="21">
                  <c:v>20</c:v>
                </c:pt>
                <c:pt idx="22">
                  <c:v>25</c:v>
                </c:pt>
                <c:pt idx="23">
                  <c:v>30</c:v>
                </c:pt>
                <c:pt idx="24">
                  <c:v>35</c:v>
                </c:pt>
                <c:pt idx="25">
                  <c:v>40</c:v>
                </c:pt>
                <c:pt idx="26">
                  <c:v>45</c:v>
                </c:pt>
                <c:pt idx="27">
                  <c:v>50</c:v>
                </c:pt>
                <c:pt idx="28">
                  <c:v>55</c:v>
                </c:pt>
                <c:pt idx="29">
                  <c:v>60</c:v>
                </c:pt>
                <c:pt idx="30">
                  <c:v>80</c:v>
                </c:pt>
                <c:pt idx="31">
                  <c:v>85</c:v>
                </c:pt>
              </c:numCache>
            </c:numRef>
          </c:xVal>
          <c:yVal>
            <c:numRef>
              <c:f>raw!$L$109:$L$140</c:f>
              <c:numCache>
                <c:formatCode>General</c:formatCode>
                <c:ptCount val="32"/>
                <c:pt idx="2">
                  <c:v>1</c:v>
                </c:pt>
                <c:pt idx="3">
                  <c:v>0.54650275881731425</c:v>
                </c:pt>
                <c:pt idx="4">
                  <c:v>0.31304811578647251</c:v>
                </c:pt>
                <c:pt idx="5">
                  <c:v>0.1894323041575125</c:v>
                </c:pt>
                <c:pt idx="6">
                  <c:v>0.11941167591862745</c:v>
                </c:pt>
                <c:pt idx="7">
                  <c:v>7.7450148422694418E-2</c:v>
                </c:pt>
                <c:pt idx="8">
                  <c:v>5.2268267731061427E-2</c:v>
                </c:pt>
                <c:pt idx="9">
                  <c:v>3.5939423415566767E-2</c:v>
                </c:pt>
                <c:pt idx="10">
                  <c:v>2.5008133899072568E-2</c:v>
                </c:pt>
                <c:pt idx="11">
                  <c:v>1.7611484730071941E-2</c:v>
                </c:pt>
                <c:pt idx="12">
                  <c:v>1.2443356197695673E-2</c:v>
                </c:pt>
                <c:pt idx="13">
                  <c:v>8.7088064132020693E-3</c:v>
                </c:pt>
                <c:pt idx="14">
                  <c:v>5.9831955322253334E-3</c:v>
                </c:pt>
                <c:pt idx="15">
                  <c:v>4.0961309473896024E-3</c:v>
                </c:pt>
                <c:pt idx="16">
                  <c:v>2.5766850587820933E-3</c:v>
                </c:pt>
                <c:pt idx="17">
                  <c:v>1.5630502960068415E-3</c:v>
                </c:pt>
                <c:pt idx="18">
                  <c:v>8.995924665000743E-4</c:v>
                </c:pt>
                <c:pt idx="19">
                  <c:v>3.8304794807721235E-4</c:v>
                </c:pt>
                <c:pt idx="20">
                  <c:v>7.7146259244970919E-5</c:v>
                </c:pt>
                <c:pt idx="21">
                  <c:v>0</c:v>
                </c:pt>
                <c:pt idx="22">
                  <c:v>6.3729518506715319E-5</c:v>
                </c:pt>
                <c:pt idx="23">
                  <c:v>3.119392221644534E-4</c:v>
                </c:pt>
                <c:pt idx="24">
                  <c:v>8.0634611836919389E-4</c:v>
                </c:pt>
                <c:pt idx="25">
                  <c:v>1.5107250071276414E-3</c:v>
                </c:pt>
                <c:pt idx="26">
                  <c:v>2.5760142217451818E-3</c:v>
                </c:pt>
                <c:pt idx="27">
                  <c:v>3.9908095325942939E-3</c:v>
                </c:pt>
                <c:pt idx="28">
                  <c:v>6.0670501618394343E-3</c:v>
                </c:pt>
                <c:pt idx="29">
                  <c:v>8.3029500058698202E-3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A4-4E16-A9D5-10BF481F0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65839"/>
        <c:axId val="1029164399"/>
      </c:scatterChart>
      <c:valAx>
        <c:axId val="10291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In-plane</a:t>
                </a:r>
                <a:r>
                  <a:rPr lang="en-US" baseline="0"/>
                  <a:t> scatter polar angle [deg]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4399"/>
        <c:crosses val="autoZero"/>
        <c:crossBetween val="midCat"/>
      </c:valAx>
      <c:valAx>
        <c:axId val="102916439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BRDF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65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28460</xdr:colOff>
      <xdr:row>7</xdr:row>
      <xdr:rowOff>23183</xdr:rowOff>
    </xdr:from>
    <xdr:to>
      <xdr:col>24</xdr:col>
      <xdr:colOff>573428</xdr:colOff>
      <xdr:row>31</xdr:row>
      <xdr:rowOff>164887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4EBC90-4A87-13FF-5CEC-F383CAB403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9</xdr:row>
      <xdr:rowOff>38582</xdr:rowOff>
    </xdr:from>
    <xdr:to>
      <xdr:col>29</xdr:col>
      <xdr:colOff>497229</xdr:colOff>
      <xdr:row>34</xdr:row>
      <xdr:rowOff>14647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77431-65AE-4339-8996-8D053E667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106101</xdr:colOff>
      <xdr:row>37</xdr:row>
      <xdr:rowOff>125393</xdr:rowOff>
    </xdr:from>
    <xdr:to>
      <xdr:col>29</xdr:col>
      <xdr:colOff>603330</xdr:colOff>
      <xdr:row>62</xdr:row>
      <xdr:rowOff>101458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DC4D8D-4AC9-450A-A469-68CE8C5DB5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94AE2-B570-442F-883A-CED1B571391E}">
  <dimension ref="B2:I140"/>
  <sheetViews>
    <sheetView zoomScale="83" workbookViewId="0">
      <selection activeCell="I6" sqref="I6"/>
    </sheetView>
  </sheetViews>
  <sheetFormatPr defaultRowHeight="14.4" x14ac:dyDescent="0.3"/>
  <sheetData>
    <row r="2" spans="2:9" x14ac:dyDescent="0.3">
      <c r="B2" t="s">
        <v>2</v>
      </c>
    </row>
    <row r="3" spans="2:9" ht="15" thickBot="1" x14ac:dyDescent="0.35"/>
    <row r="4" spans="2:9" x14ac:dyDescent="0.3">
      <c r="B4" s="1" t="s">
        <v>0</v>
      </c>
      <c r="C4" s="2"/>
      <c r="D4" s="3"/>
    </row>
    <row r="5" spans="2:9" x14ac:dyDescent="0.3">
      <c r="B5" s="4" t="s">
        <v>1</v>
      </c>
      <c r="D5" s="5"/>
      <c r="G5" t="s">
        <v>3</v>
      </c>
      <c r="H5" t="s">
        <v>5</v>
      </c>
      <c r="I5" t="s">
        <v>4</v>
      </c>
    </row>
    <row r="6" spans="2:9" x14ac:dyDescent="0.3">
      <c r="B6" s="4">
        <v>0</v>
      </c>
      <c r="C6">
        <v>0</v>
      </c>
      <c r="D6" s="5"/>
    </row>
    <row r="7" spans="2:9" x14ac:dyDescent="0.3">
      <c r="B7" s="4">
        <v>0</v>
      </c>
      <c r="C7">
        <v>180</v>
      </c>
      <c r="D7" s="5">
        <v>1.0000000000000001E-5</v>
      </c>
    </row>
    <row r="8" spans="2:9" x14ac:dyDescent="0.3">
      <c r="B8" s="4">
        <v>45</v>
      </c>
      <c r="C8">
        <v>180</v>
      </c>
      <c r="D8" s="5">
        <v>8.6859999999999993E-3</v>
      </c>
    </row>
    <row r="9" spans="2:9" x14ac:dyDescent="0.3">
      <c r="B9" s="4">
        <v>10</v>
      </c>
      <c r="C9">
        <v>0</v>
      </c>
      <c r="D9" s="5"/>
    </row>
    <row r="10" spans="2:9" x14ac:dyDescent="0.3">
      <c r="B10" s="4">
        <v>0</v>
      </c>
      <c r="C10">
        <v>180</v>
      </c>
      <c r="D10" s="5">
        <v>9.3229999999999997E-3</v>
      </c>
      <c r="G10">
        <f t="shared" ref="G10:G73" si="0">IF(C10=0, B10, IF(C10=180, -B10, 270))</f>
        <v>0</v>
      </c>
      <c r="H10">
        <v>1</v>
      </c>
      <c r="I10">
        <f>D10*H10</f>
        <v>9.3229999999999997E-3</v>
      </c>
    </row>
    <row r="11" spans="2:9" x14ac:dyDescent="0.3">
      <c r="B11" s="4">
        <v>5</v>
      </c>
      <c r="C11">
        <v>0</v>
      </c>
      <c r="D11" s="5">
        <v>9.1459999999999996E-3</v>
      </c>
      <c r="G11">
        <f t="shared" si="0"/>
        <v>5</v>
      </c>
      <c r="H11">
        <v>1</v>
      </c>
      <c r="I11">
        <f t="shared" ref="I11:I74" si="1">D11*H11</f>
        <v>9.1459999999999996E-3</v>
      </c>
    </row>
    <row r="12" spans="2:9" x14ac:dyDescent="0.3">
      <c r="B12" s="4">
        <v>10</v>
      </c>
      <c r="C12">
        <v>0</v>
      </c>
      <c r="D12" s="5">
        <v>9.0399999999999994E-3</v>
      </c>
      <c r="G12">
        <f t="shared" si="0"/>
        <v>10</v>
      </c>
      <c r="H12">
        <v>1</v>
      </c>
      <c r="I12">
        <f t="shared" si="1"/>
        <v>9.0399999999999994E-3</v>
      </c>
    </row>
    <row r="13" spans="2:9" x14ac:dyDescent="0.3">
      <c r="B13" s="4">
        <v>15</v>
      </c>
      <c r="C13">
        <v>0</v>
      </c>
      <c r="D13" s="5">
        <v>8.9259999999999999E-3</v>
      </c>
      <c r="G13">
        <f t="shared" si="0"/>
        <v>15</v>
      </c>
      <c r="H13">
        <v>1</v>
      </c>
      <c r="I13">
        <f t="shared" si="1"/>
        <v>8.9259999999999999E-3</v>
      </c>
    </row>
    <row r="14" spans="2:9" x14ac:dyDescent="0.3">
      <c r="B14" s="4">
        <v>20</v>
      </c>
      <c r="C14">
        <v>0</v>
      </c>
      <c r="D14" s="5">
        <v>8.8940000000000009E-3</v>
      </c>
      <c r="G14">
        <f t="shared" si="0"/>
        <v>20</v>
      </c>
      <c r="H14">
        <v>1</v>
      </c>
      <c r="I14">
        <f t="shared" si="1"/>
        <v>8.8940000000000009E-3</v>
      </c>
    </row>
    <row r="15" spans="2:9" x14ac:dyDescent="0.3">
      <c r="B15" s="4">
        <v>20</v>
      </c>
      <c r="C15">
        <v>180</v>
      </c>
      <c r="D15" s="5">
        <v>9.2420000000000002E-3</v>
      </c>
      <c r="G15">
        <f t="shared" si="0"/>
        <v>-20</v>
      </c>
      <c r="H15">
        <v>1</v>
      </c>
      <c r="I15">
        <f t="shared" si="1"/>
        <v>9.2420000000000002E-3</v>
      </c>
    </row>
    <row r="16" spans="2:9" x14ac:dyDescent="0.3">
      <c r="B16" s="4">
        <v>25</v>
      </c>
      <c r="C16">
        <v>0</v>
      </c>
      <c r="D16" s="5">
        <v>8.8999999999999999E-3</v>
      </c>
      <c r="G16">
        <f t="shared" si="0"/>
        <v>25</v>
      </c>
      <c r="H16">
        <v>1</v>
      </c>
      <c r="I16">
        <f t="shared" si="1"/>
        <v>8.8999999999999999E-3</v>
      </c>
    </row>
    <row r="17" spans="2:9" x14ac:dyDescent="0.3">
      <c r="B17" s="4">
        <v>25</v>
      </c>
      <c r="C17">
        <v>180</v>
      </c>
      <c r="D17" s="5">
        <v>9.0930000000000004E-3</v>
      </c>
      <c r="G17">
        <f t="shared" si="0"/>
        <v>-25</v>
      </c>
      <c r="H17">
        <v>1</v>
      </c>
      <c r="I17">
        <f t="shared" si="1"/>
        <v>9.0930000000000004E-3</v>
      </c>
    </row>
    <row r="18" spans="2:9" x14ac:dyDescent="0.3">
      <c r="B18" s="4">
        <v>30</v>
      </c>
      <c r="C18">
        <v>0</v>
      </c>
      <c r="D18" s="5">
        <v>8.8610000000000008E-3</v>
      </c>
      <c r="G18">
        <f t="shared" si="0"/>
        <v>30</v>
      </c>
      <c r="H18">
        <v>1</v>
      </c>
      <c r="I18">
        <f t="shared" si="1"/>
        <v>8.8610000000000008E-3</v>
      </c>
    </row>
    <row r="19" spans="2:9" x14ac:dyDescent="0.3">
      <c r="B19" s="4">
        <v>30</v>
      </c>
      <c r="C19">
        <v>180</v>
      </c>
      <c r="D19" s="5">
        <v>8.8999999999999999E-3</v>
      </c>
      <c r="G19">
        <f t="shared" si="0"/>
        <v>-30</v>
      </c>
      <c r="H19">
        <v>1</v>
      </c>
      <c r="I19">
        <f t="shared" si="1"/>
        <v>8.8999999999999999E-3</v>
      </c>
    </row>
    <row r="20" spans="2:9" x14ac:dyDescent="0.3">
      <c r="B20" s="4">
        <v>35</v>
      </c>
      <c r="C20">
        <v>0</v>
      </c>
      <c r="D20" s="5">
        <v>8.8470000000000007E-3</v>
      </c>
      <c r="G20">
        <f t="shared" si="0"/>
        <v>35</v>
      </c>
      <c r="H20">
        <v>1</v>
      </c>
      <c r="I20">
        <f t="shared" si="1"/>
        <v>8.8470000000000007E-3</v>
      </c>
    </row>
    <row r="21" spans="2:9" x14ac:dyDescent="0.3">
      <c r="B21" s="4">
        <v>35</v>
      </c>
      <c r="C21">
        <v>180</v>
      </c>
      <c r="D21" s="5">
        <v>8.7729999999999995E-3</v>
      </c>
      <c r="G21">
        <f t="shared" si="0"/>
        <v>-35</v>
      </c>
      <c r="H21">
        <v>1</v>
      </c>
      <c r="I21">
        <f t="shared" si="1"/>
        <v>8.7729999999999995E-3</v>
      </c>
    </row>
    <row r="22" spans="2:9" x14ac:dyDescent="0.3">
      <c r="B22" s="4">
        <v>40</v>
      </c>
      <c r="C22">
        <v>0</v>
      </c>
      <c r="D22" s="5">
        <v>8.9020000000000002E-3</v>
      </c>
      <c r="G22">
        <f t="shared" si="0"/>
        <v>40</v>
      </c>
      <c r="H22">
        <v>1</v>
      </c>
      <c r="I22">
        <f t="shared" si="1"/>
        <v>8.9020000000000002E-3</v>
      </c>
    </row>
    <row r="23" spans="2:9" x14ac:dyDescent="0.3">
      <c r="B23" s="4">
        <v>40</v>
      </c>
      <c r="C23">
        <v>180</v>
      </c>
      <c r="D23" s="5">
        <v>8.6879999999999995E-3</v>
      </c>
      <c r="G23">
        <f t="shared" si="0"/>
        <v>-40</v>
      </c>
      <c r="H23">
        <v>1</v>
      </c>
      <c r="I23">
        <f t="shared" si="1"/>
        <v>8.6879999999999995E-3</v>
      </c>
    </row>
    <row r="24" spans="2:9" x14ac:dyDescent="0.3">
      <c r="B24" s="4">
        <v>45</v>
      </c>
      <c r="C24">
        <v>0</v>
      </c>
      <c r="D24" s="5">
        <v>9.0150000000000004E-3</v>
      </c>
      <c r="G24">
        <f t="shared" si="0"/>
        <v>45</v>
      </c>
      <c r="H24">
        <v>1</v>
      </c>
      <c r="I24">
        <f t="shared" si="1"/>
        <v>9.0150000000000004E-3</v>
      </c>
    </row>
    <row r="25" spans="2:9" x14ac:dyDescent="0.3">
      <c r="B25" s="4">
        <v>45</v>
      </c>
      <c r="C25">
        <v>180</v>
      </c>
      <c r="D25" s="5">
        <v>8.6199999999999992E-3</v>
      </c>
      <c r="G25">
        <f t="shared" si="0"/>
        <v>-45</v>
      </c>
      <c r="H25">
        <v>1</v>
      </c>
      <c r="I25">
        <f t="shared" si="1"/>
        <v>8.6199999999999992E-3</v>
      </c>
    </row>
    <row r="26" spans="2:9" x14ac:dyDescent="0.3">
      <c r="B26" s="4">
        <v>50</v>
      </c>
      <c r="C26">
        <v>0</v>
      </c>
      <c r="D26" s="5">
        <v>9.1730000000000006E-3</v>
      </c>
      <c r="G26">
        <f t="shared" si="0"/>
        <v>50</v>
      </c>
      <c r="H26">
        <v>1</v>
      </c>
      <c r="I26">
        <f t="shared" si="1"/>
        <v>9.1730000000000006E-3</v>
      </c>
    </row>
    <row r="27" spans="2:9" x14ac:dyDescent="0.3">
      <c r="B27" s="4">
        <v>50</v>
      </c>
      <c r="C27">
        <v>180</v>
      </c>
      <c r="D27" s="5">
        <v>8.5649999999999997E-3</v>
      </c>
      <c r="G27">
        <f t="shared" si="0"/>
        <v>-50</v>
      </c>
      <c r="H27">
        <v>1</v>
      </c>
      <c r="I27">
        <f t="shared" si="1"/>
        <v>8.5649999999999997E-3</v>
      </c>
    </row>
    <row r="28" spans="2:9" x14ac:dyDescent="0.3">
      <c r="B28" s="4">
        <v>55</v>
      </c>
      <c r="C28">
        <v>0</v>
      </c>
      <c r="D28" s="5">
        <v>9.3570000000000007E-3</v>
      </c>
      <c r="G28">
        <f t="shared" si="0"/>
        <v>55</v>
      </c>
      <c r="H28">
        <v>1</v>
      </c>
      <c r="I28">
        <f t="shared" si="1"/>
        <v>9.3570000000000007E-3</v>
      </c>
    </row>
    <row r="29" spans="2:9" x14ac:dyDescent="0.3">
      <c r="B29" s="4">
        <v>55</v>
      </c>
      <c r="C29">
        <v>180</v>
      </c>
      <c r="D29" s="5">
        <v>8.5579999999999996E-3</v>
      </c>
      <c r="G29">
        <f t="shared" si="0"/>
        <v>-55</v>
      </c>
      <c r="H29">
        <v>1</v>
      </c>
      <c r="I29">
        <f t="shared" si="1"/>
        <v>8.5579999999999996E-3</v>
      </c>
    </row>
    <row r="30" spans="2:9" x14ac:dyDescent="0.3">
      <c r="B30" s="4">
        <v>60</v>
      </c>
      <c r="C30">
        <v>0</v>
      </c>
      <c r="D30" s="5">
        <v>9.6259999999999991E-3</v>
      </c>
      <c r="G30">
        <f t="shared" si="0"/>
        <v>60</v>
      </c>
      <c r="H30">
        <v>1</v>
      </c>
      <c r="I30">
        <f t="shared" si="1"/>
        <v>9.6259999999999991E-3</v>
      </c>
    </row>
    <row r="31" spans="2:9" x14ac:dyDescent="0.3">
      <c r="B31" s="4">
        <v>60</v>
      </c>
      <c r="C31">
        <v>180</v>
      </c>
      <c r="D31" s="5">
        <v>8.5500000000000003E-3</v>
      </c>
      <c r="G31">
        <f t="shared" si="0"/>
        <v>-60</v>
      </c>
      <c r="H31">
        <v>1</v>
      </c>
      <c r="I31">
        <f t="shared" si="1"/>
        <v>8.5500000000000003E-3</v>
      </c>
    </row>
    <row r="32" spans="2:9" x14ac:dyDescent="0.3">
      <c r="B32" s="4">
        <v>65</v>
      </c>
      <c r="C32">
        <v>0</v>
      </c>
      <c r="D32" s="5">
        <v>9.9439999999999997E-3</v>
      </c>
      <c r="G32">
        <f t="shared" si="0"/>
        <v>65</v>
      </c>
      <c r="H32">
        <v>1</v>
      </c>
      <c r="I32">
        <f t="shared" si="1"/>
        <v>9.9439999999999997E-3</v>
      </c>
    </row>
    <row r="33" spans="2:9" x14ac:dyDescent="0.3">
      <c r="B33" s="4">
        <v>65</v>
      </c>
      <c r="C33">
        <v>180</v>
      </c>
      <c r="D33" s="5">
        <v>8.5690000000000002E-3</v>
      </c>
      <c r="G33">
        <f t="shared" si="0"/>
        <v>-65</v>
      </c>
      <c r="H33">
        <v>1</v>
      </c>
      <c r="I33">
        <f t="shared" si="1"/>
        <v>8.5690000000000002E-3</v>
      </c>
    </row>
    <row r="34" spans="2:9" x14ac:dyDescent="0.3">
      <c r="B34" s="4">
        <v>70</v>
      </c>
      <c r="C34">
        <v>0</v>
      </c>
      <c r="D34" s="5">
        <v>1.0333E-2</v>
      </c>
      <c r="G34">
        <f t="shared" si="0"/>
        <v>70</v>
      </c>
      <c r="H34">
        <v>1</v>
      </c>
      <c r="I34">
        <f t="shared" si="1"/>
        <v>1.0333E-2</v>
      </c>
    </row>
    <row r="35" spans="2:9" x14ac:dyDescent="0.3">
      <c r="B35" s="4">
        <v>70</v>
      </c>
      <c r="C35">
        <v>180</v>
      </c>
      <c r="D35" s="5">
        <v>8.5609999999999992E-3</v>
      </c>
      <c r="G35">
        <f t="shared" si="0"/>
        <v>-70</v>
      </c>
      <c r="H35">
        <v>1</v>
      </c>
      <c r="I35">
        <f t="shared" si="1"/>
        <v>8.5609999999999992E-3</v>
      </c>
    </row>
    <row r="36" spans="2:9" x14ac:dyDescent="0.3">
      <c r="B36" s="4">
        <v>75</v>
      </c>
      <c r="C36">
        <v>0</v>
      </c>
      <c r="D36" s="5">
        <v>1.0685999999999999E-2</v>
      </c>
      <c r="G36">
        <f t="shared" si="0"/>
        <v>75</v>
      </c>
      <c r="H36">
        <v>1</v>
      </c>
      <c r="I36">
        <f t="shared" si="1"/>
        <v>1.0685999999999999E-2</v>
      </c>
    </row>
    <row r="37" spans="2:9" x14ac:dyDescent="0.3">
      <c r="B37" s="4">
        <v>75</v>
      </c>
      <c r="C37">
        <v>180</v>
      </c>
      <c r="D37" s="5">
        <v>8.5129999999999997E-3</v>
      </c>
      <c r="G37">
        <f t="shared" si="0"/>
        <v>-75</v>
      </c>
      <c r="H37">
        <v>1</v>
      </c>
      <c r="I37">
        <f t="shared" si="1"/>
        <v>8.5129999999999997E-3</v>
      </c>
    </row>
    <row r="38" spans="2:9" x14ac:dyDescent="0.3">
      <c r="B38" s="4">
        <v>80</v>
      </c>
      <c r="C38">
        <v>0</v>
      </c>
      <c r="D38" s="5">
        <v>1.07E-4</v>
      </c>
      <c r="G38">
        <f t="shared" si="0"/>
        <v>80</v>
      </c>
      <c r="H38">
        <v>1</v>
      </c>
      <c r="I38">
        <f t="shared" si="1"/>
        <v>1.07E-4</v>
      </c>
    </row>
    <row r="39" spans="2:9" x14ac:dyDescent="0.3">
      <c r="B39" s="4">
        <v>80</v>
      </c>
      <c r="C39">
        <v>180</v>
      </c>
      <c r="D39" s="5">
        <v>5.1999999999999997E-5</v>
      </c>
      <c r="G39">
        <f t="shared" si="0"/>
        <v>-80</v>
      </c>
      <c r="H39">
        <v>1</v>
      </c>
      <c r="I39">
        <f t="shared" si="1"/>
        <v>5.1999999999999997E-5</v>
      </c>
    </row>
    <row r="40" spans="2:9" x14ac:dyDescent="0.3">
      <c r="B40" s="4">
        <v>85</v>
      </c>
      <c r="C40">
        <v>0</v>
      </c>
      <c r="D40" s="5">
        <v>0</v>
      </c>
      <c r="G40">
        <f t="shared" si="0"/>
        <v>85</v>
      </c>
      <c r="H40">
        <v>1</v>
      </c>
      <c r="I40">
        <f t="shared" si="1"/>
        <v>0</v>
      </c>
    </row>
    <row r="41" spans="2:9" x14ac:dyDescent="0.3">
      <c r="B41" s="4">
        <v>85</v>
      </c>
      <c r="C41">
        <v>180</v>
      </c>
      <c r="D41" s="5">
        <v>0</v>
      </c>
      <c r="G41">
        <f t="shared" si="0"/>
        <v>-85</v>
      </c>
      <c r="H41">
        <v>1</v>
      </c>
      <c r="I41">
        <f t="shared" si="1"/>
        <v>0</v>
      </c>
    </row>
    <row r="42" spans="2:9" x14ac:dyDescent="0.3">
      <c r="B42" s="4">
        <v>30</v>
      </c>
      <c r="C42">
        <v>0</v>
      </c>
      <c r="D42" s="5"/>
      <c r="H42">
        <v>1</v>
      </c>
      <c r="I42">
        <f t="shared" si="1"/>
        <v>0</v>
      </c>
    </row>
    <row r="43" spans="2:9" x14ac:dyDescent="0.3">
      <c r="B43" s="4">
        <v>0</v>
      </c>
      <c r="C43">
        <v>180</v>
      </c>
      <c r="D43" s="5">
        <v>8.7749999999999998E-3</v>
      </c>
      <c r="G43">
        <f t="shared" si="0"/>
        <v>0</v>
      </c>
      <c r="H43">
        <v>1</v>
      </c>
      <c r="I43">
        <f t="shared" si="1"/>
        <v>8.7749999999999998E-3</v>
      </c>
    </row>
    <row r="44" spans="2:9" x14ac:dyDescent="0.3">
      <c r="B44" s="4">
        <v>5</v>
      </c>
      <c r="C44">
        <v>0</v>
      </c>
      <c r="D44" s="5">
        <v>8.7939999999999997E-3</v>
      </c>
      <c r="G44">
        <f t="shared" si="0"/>
        <v>5</v>
      </c>
      <c r="H44">
        <v>1</v>
      </c>
      <c r="I44">
        <f t="shared" si="1"/>
        <v>8.7939999999999997E-3</v>
      </c>
    </row>
    <row r="45" spans="2:9" x14ac:dyDescent="0.3">
      <c r="B45" s="4">
        <v>5</v>
      </c>
      <c r="C45">
        <v>180</v>
      </c>
      <c r="D45" s="5">
        <v>8.8299999999999993E-3</v>
      </c>
      <c r="G45">
        <f t="shared" si="0"/>
        <v>-5</v>
      </c>
      <c r="H45">
        <v>1</v>
      </c>
      <c r="I45">
        <f t="shared" si="1"/>
        <v>8.8299999999999993E-3</v>
      </c>
    </row>
    <row r="46" spans="2:9" x14ac:dyDescent="0.3">
      <c r="B46" s="4">
        <v>10</v>
      </c>
      <c r="C46">
        <v>0</v>
      </c>
      <c r="D46" s="5">
        <v>8.8489999999999992E-3</v>
      </c>
      <c r="G46">
        <f t="shared" si="0"/>
        <v>10</v>
      </c>
      <c r="H46">
        <v>1</v>
      </c>
      <c r="I46">
        <f t="shared" si="1"/>
        <v>8.8489999999999992E-3</v>
      </c>
    </row>
    <row r="47" spans="2:9" x14ac:dyDescent="0.3">
      <c r="B47" s="4">
        <v>10</v>
      </c>
      <c r="C47">
        <v>180</v>
      </c>
      <c r="D47" s="5">
        <v>8.8920000000000006E-3</v>
      </c>
      <c r="G47">
        <f t="shared" si="0"/>
        <v>-10</v>
      </c>
      <c r="H47">
        <v>1</v>
      </c>
      <c r="I47">
        <f t="shared" si="1"/>
        <v>8.8920000000000006E-3</v>
      </c>
    </row>
    <row r="48" spans="2:9" x14ac:dyDescent="0.3">
      <c r="B48" s="4">
        <v>15</v>
      </c>
      <c r="C48">
        <v>0</v>
      </c>
      <c r="D48" s="5">
        <v>8.9239999999999996E-3</v>
      </c>
      <c r="G48">
        <f t="shared" si="0"/>
        <v>15</v>
      </c>
      <c r="H48">
        <v>1</v>
      </c>
      <c r="I48">
        <f t="shared" si="1"/>
        <v>8.9239999999999996E-3</v>
      </c>
    </row>
    <row r="49" spans="2:9" x14ac:dyDescent="0.3">
      <c r="B49" s="4">
        <v>15</v>
      </c>
      <c r="C49">
        <v>180</v>
      </c>
      <c r="D49" s="5">
        <v>9.0449999999999992E-3</v>
      </c>
      <c r="G49">
        <f t="shared" si="0"/>
        <v>-15</v>
      </c>
      <c r="H49">
        <v>1</v>
      </c>
      <c r="I49">
        <f t="shared" si="1"/>
        <v>9.0449999999999992E-3</v>
      </c>
    </row>
    <row r="50" spans="2:9" x14ac:dyDescent="0.3">
      <c r="B50" s="4">
        <v>20</v>
      </c>
      <c r="C50">
        <v>0</v>
      </c>
      <c r="D50" s="5">
        <v>9.0709999999999992E-3</v>
      </c>
      <c r="G50">
        <f t="shared" si="0"/>
        <v>20</v>
      </c>
      <c r="H50">
        <v>1</v>
      </c>
      <c r="I50">
        <f t="shared" si="1"/>
        <v>9.0709999999999992E-3</v>
      </c>
    </row>
    <row r="51" spans="2:9" x14ac:dyDescent="0.3">
      <c r="B51" s="4">
        <v>20</v>
      </c>
      <c r="C51">
        <v>180</v>
      </c>
      <c r="D51" s="5">
        <v>9.2619999999999994E-3</v>
      </c>
      <c r="G51">
        <f t="shared" si="0"/>
        <v>-20</v>
      </c>
      <c r="H51">
        <v>1</v>
      </c>
      <c r="I51">
        <f t="shared" si="1"/>
        <v>9.2619999999999994E-3</v>
      </c>
    </row>
    <row r="52" spans="2:9" x14ac:dyDescent="0.3">
      <c r="B52" s="4">
        <v>25</v>
      </c>
      <c r="C52">
        <v>0</v>
      </c>
      <c r="D52" s="5">
        <v>9.2519999999999998E-3</v>
      </c>
      <c r="G52">
        <f t="shared" si="0"/>
        <v>25</v>
      </c>
      <c r="H52">
        <v>1</v>
      </c>
      <c r="I52">
        <f t="shared" si="1"/>
        <v>9.2519999999999998E-3</v>
      </c>
    </row>
    <row r="53" spans="2:9" x14ac:dyDescent="0.3">
      <c r="B53" s="4">
        <v>30</v>
      </c>
      <c r="C53">
        <v>0</v>
      </c>
      <c r="D53" s="5">
        <v>9.4380000000000002E-3</v>
      </c>
      <c r="G53">
        <f t="shared" si="0"/>
        <v>30</v>
      </c>
      <c r="H53">
        <v>1</v>
      </c>
      <c r="I53">
        <f t="shared" si="1"/>
        <v>9.4380000000000002E-3</v>
      </c>
    </row>
    <row r="54" spans="2:9" x14ac:dyDescent="0.3">
      <c r="B54" s="4">
        <v>35</v>
      </c>
      <c r="C54">
        <v>0</v>
      </c>
      <c r="D54" s="5">
        <v>9.7680000000000006E-3</v>
      </c>
      <c r="G54">
        <f t="shared" si="0"/>
        <v>35</v>
      </c>
      <c r="H54">
        <v>1</v>
      </c>
      <c r="I54">
        <f t="shared" si="1"/>
        <v>9.7680000000000006E-3</v>
      </c>
    </row>
    <row r="55" spans="2:9" x14ac:dyDescent="0.3">
      <c r="B55" s="4">
        <v>40</v>
      </c>
      <c r="C55">
        <v>0</v>
      </c>
      <c r="D55" s="5">
        <v>1.0239E-2</v>
      </c>
      <c r="G55">
        <f t="shared" si="0"/>
        <v>40</v>
      </c>
      <c r="H55">
        <v>1</v>
      </c>
      <c r="I55">
        <f t="shared" si="1"/>
        <v>1.0239E-2</v>
      </c>
    </row>
    <row r="56" spans="2:9" x14ac:dyDescent="0.3">
      <c r="B56" s="4">
        <v>40</v>
      </c>
      <c r="C56">
        <v>180</v>
      </c>
      <c r="D56" s="5">
        <v>9.4000000000000004E-3</v>
      </c>
      <c r="G56">
        <f t="shared" si="0"/>
        <v>-40</v>
      </c>
      <c r="H56">
        <v>1</v>
      </c>
      <c r="I56">
        <f t="shared" si="1"/>
        <v>9.4000000000000004E-3</v>
      </c>
    </row>
    <row r="57" spans="2:9" x14ac:dyDescent="0.3">
      <c r="B57" s="4">
        <v>45</v>
      </c>
      <c r="C57">
        <v>0</v>
      </c>
      <c r="D57" s="5">
        <v>1.0781000000000001E-2</v>
      </c>
      <c r="G57">
        <f t="shared" si="0"/>
        <v>45</v>
      </c>
      <c r="H57">
        <v>1</v>
      </c>
      <c r="I57">
        <f t="shared" si="1"/>
        <v>1.0781000000000001E-2</v>
      </c>
    </row>
    <row r="58" spans="2:9" x14ac:dyDescent="0.3">
      <c r="B58" s="4">
        <v>45</v>
      </c>
      <c r="C58">
        <v>180</v>
      </c>
      <c r="D58" s="5">
        <v>9.195E-3</v>
      </c>
      <c r="G58">
        <f t="shared" si="0"/>
        <v>-45</v>
      </c>
      <c r="H58">
        <v>1</v>
      </c>
      <c r="I58">
        <f t="shared" si="1"/>
        <v>9.195E-3</v>
      </c>
    </row>
    <row r="59" spans="2:9" x14ac:dyDescent="0.3">
      <c r="B59" s="4">
        <v>50</v>
      </c>
      <c r="C59">
        <v>0</v>
      </c>
      <c r="D59" s="5">
        <v>1.1448E-2</v>
      </c>
      <c r="G59">
        <f t="shared" si="0"/>
        <v>50</v>
      </c>
      <c r="H59">
        <v>1</v>
      </c>
      <c r="I59">
        <f t="shared" si="1"/>
        <v>1.1448E-2</v>
      </c>
    </row>
    <row r="60" spans="2:9" x14ac:dyDescent="0.3">
      <c r="B60" s="4">
        <v>50</v>
      </c>
      <c r="C60">
        <v>180</v>
      </c>
      <c r="D60" s="5">
        <v>9.0200000000000002E-3</v>
      </c>
      <c r="G60">
        <f t="shared" si="0"/>
        <v>-50</v>
      </c>
      <c r="H60">
        <v>1</v>
      </c>
      <c r="I60">
        <f t="shared" si="1"/>
        <v>9.0200000000000002E-3</v>
      </c>
    </row>
    <row r="61" spans="2:9" x14ac:dyDescent="0.3">
      <c r="B61" s="4">
        <v>55</v>
      </c>
      <c r="C61">
        <v>0</v>
      </c>
      <c r="D61" s="5">
        <v>1.2302E-2</v>
      </c>
      <c r="G61">
        <f t="shared" si="0"/>
        <v>55</v>
      </c>
      <c r="H61">
        <v>1</v>
      </c>
      <c r="I61">
        <f t="shared" si="1"/>
        <v>1.2302E-2</v>
      </c>
    </row>
    <row r="62" spans="2:9" x14ac:dyDescent="0.3">
      <c r="B62" s="4">
        <v>55</v>
      </c>
      <c r="C62">
        <v>180</v>
      </c>
      <c r="D62" s="5">
        <v>8.9180000000000006E-3</v>
      </c>
      <c r="G62">
        <f t="shared" si="0"/>
        <v>-55</v>
      </c>
      <c r="H62">
        <v>1</v>
      </c>
      <c r="I62">
        <f t="shared" si="1"/>
        <v>8.9180000000000006E-3</v>
      </c>
    </row>
    <row r="63" spans="2:9" x14ac:dyDescent="0.3">
      <c r="B63" s="4">
        <v>60</v>
      </c>
      <c r="C63">
        <v>0</v>
      </c>
      <c r="D63" s="5">
        <v>1.3421000000000001E-2</v>
      </c>
      <c r="G63">
        <f t="shared" si="0"/>
        <v>60</v>
      </c>
      <c r="H63">
        <v>1</v>
      </c>
      <c r="I63">
        <f t="shared" si="1"/>
        <v>1.3421000000000001E-2</v>
      </c>
    </row>
    <row r="64" spans="2:9" x14ac:dyDescent="0.3">
      <c r="B64" s="4">
        <v>60</v>
      </c>
      <c r="C64">
        <v>180</v>
      </c>
      <c r="D64" s="5">
        <v>8.7760000000000008E-3</v>
      </c>
      <c r="G64">
        <f t="shared" si="0"/>
        <v>-60</v>
      </c>
      <c r="H64">
        <v>1</v>
      </c>
      <c r="I64">
        <f t="shared" si="1"/>
        <v>8.7760000000000008E-3</v>
      </c>
    </row>
    <row r="65" spans="2:9" x14ac:dyDescent="0.3">
      <c r="B65" s="4">
        <v>65</v>
      </c>
      <c r="C65">
        <v>0</v>
      </c>
      <c r="D65" s="5">
        <v>1.4867E-2</v>
      </c>
      <c r="G65">
        <f t="shared" si="0"/>
        <v>65</v>
      </c>
      <c r="H65">
        <v>1</v>
      </c>
      <c r="I65">
        <f t="shared" si="1"/>
        <v>1.4867E-2</v>
      </c>
    </row>
    <row r="66" spans="2:9" x14ac:dyDescent="0.3">
      <c r="B66" s="4">
        <v>65</v>
      </c>
      <c r="C66">
        <v>180</v>
      </c>
      <c r="D66" s="5">
        <v>8.6580000000000008E-3</v>
      </c>
      <c r="G66">
        <f t="shared" si="0"/>
        <v>-65</v>
      </c>
      <c r="H66">
        <v>1</v>
      </c>
      <c r="I66">
        <f t="shared" si="1"/>
        <v>8.6580000000000008E-3</v>
      </c>
    </row>
    <row r="67" spans="2:9" x14ac:dyDescent="0.3">
      <c r="B67" s="4">
        <v>70</v>
      </c>
      <c r="C67">
        <v>0</v>
      </c>
      <c r="D67" s="5">
        <v>1.6684999999999998E-2</v>
      </c>
      <c r="G67">
        <f t="shared" si="0"/>
        <v>70</v>
      </c>
      <c r="H67">
        <v>1</v>
      </c>
      <c r="I67">
        <f t="shared" si="1"/>
        <v>1.6684999999999998E-2</v>
      </c>
    </row>
    <row r="68" spans="2:9" x14ac:dyDescent="0.3">
      <c r="B68" s="4">
        <v>70</v>
      </c>
      <c r="C68">
        <v>180</v>
      </c>
      <c r="D68" s="5">
        <v>8.5109999999999995E-3</v>
      </c>
      <c r="G68">
        <f t="shared" si="0"/>
        <v>-70</v>
      </c>
      <c r="H68">
        <v>1</v>
      </c>
      <c r="I68">
        <f t="shared" si="1"/>
        <v>8.5109999999999995E-3</v>
      </c>
    </row>
    <row r="69" spans="2:9" x14ac:dyDescent="0.3">
      <c r="B69" s="4">
        <v>75</v>
      </c>
      <c r="C69">
        <v>0</v>
      </c>
      <c r="D69" s="5">
        <v>1.8807000000000001E-2</v>
      </c>
      <c r="G69">
        <f t="shared" si="0"/>
        <v>75</v>
      </c>
      <c r="H69">
        <v>1</v>
      </c>
      <c r="I69">
        <f t="shared" si="1"/>
        <v>1.8807000000000001E-2</v>
      </c>
    </row>
    <row r="70" spans="2:9" x14ac:dyDescent="0.3">
      <c r="B70" s="4">
        <v>75</v>
      </c>
      <c r="C70">
        <v>180</v>
      </c>
      <c r="D70" s="5">
        <v>8.3169999999999997E-3</v>
      </c>
      <c r="G70">
        <f t="shared" si="0"/>
        <v>-75</v>
      </c>
      <c r="H70">
        <v>1</v>
      </c>
      <c r="I70">
        <f t="shared" si="1"/>
        <v>8.3169999999999997E-3</v>
      </c>
    </row>
    <row r="71" spans="2:9" x14ac:dyDescent="0.3">
      <c r="B71" s="4">
        <v>80</v>
      </c>
      <c r="C71">
        <v>0</v>
      </c>
      <c r="D71" s="5">
        <v>3.48E-4</v>
      </c>
      <c r="G71">
        <f t="shared" si="0"/>
        <v>80</v>
      </c>
      <c r="H71">
        <v>1</v>
      </c>
      <c r="I71">
        <f t="shared" si="1"/>
        <v>3.48E-4</v>
      </c>
    </row>
    <row r="72" spans="2:9" x14ac:dyDescent="0.3">
      <c r="B72" s="4">
        <v>80</v>
      </c>
      <c r="C72">
        <v>180</v>
      </c>
      <c r="D72" s="5">
        <v>5.1E-5</v>
      </c>
      <c r="G72">
        <f t="shared" si="0"/>
        <v>-80</v>
      </c>
      <c r="H72">
        <v>1</v>
      </c>
      <c r="I72">
        <f t="shared" si="1"/>
        <v>5.1E-5</v>
      </c>
    </row>
    <row r="73" spans="2:9" x14ac:dyDescent="0.3">
      <c r="B73" s="4">
        <v>85</v>
      </c>
      <c r="C73">
        <v>0</v>
      </c>
      <c r="D73" s="5">
        <v>9.9999999999999995E-7</v>
      </c>
      <c r="G73">
        <f t="shared" si="0"/>
        <v>85</v>
      </c>
      <c r="H73">
        <v>1</v>
      </c>
      <c r="I73">
        <f t="shared" si="1"/>
        <v>9.9999999999999995E-7</v>
      </c>
    </row>
    <row r="74" spans="2:9" x14ac:dyDescent="0.3">
      <c r="B74" s="4">
        <v>85</v>
      </c>
      <c r="C74">
        <v>180</v>
      </c>
      <c r="D74" s="5">
        <v>9.9999999999999995E-7</v>
      </c>
      <c r="G74">
        <f t="shared" ref="G74:G137" si="2">IF(C74=0, B74, IF(C74=180, -B74, 270))</f>
        <v>-85</v>
      </c>
      <c r="H74">
        <v>1</v>
      </c>
      <c r="I74">
        <f t="shared" si="1"/>
        <v>9.9999999999999995E-7</v>
      </c>
    </row>
    <row r="75" spans="2:9" x14ac:dyDescent="0.3">
      <c r="B75" s="4">
        <v>50</v>
      </c>
      <c r="C75">
        <v>0</v>
      </c>
      <c r="D75" s="5"/>
      <c r="H75">
        <v>1</v>
      </c>
      <c r="I75">
        <f t="shared" ref="I75:I138" si="3">D75*H75</f>
        <v>0</v>
      </c>
    </row>
    <row r="76" spans="2:9" x14ac:dyDescent="0.3">
      <c r="B76" s="4">
        <v>0</v>
      </c>
      <c r="C76">
        <v>180</v>
      </c>
      <c r="D76" s="5">
        <v>8.7379999999999992E-3</v>
      </c>
      <c r="G76">
        <f t="shared" si="2"/>
        <v>0</v>
      </c>
      <c r="H76">
        <v>1</v>
      </c>
      <c r="I76">
        <f t="shared" si="3"/>
        <v>8.7379999999999992E-3</v>
      </c>
    </row>
    <row r="77" spans="2:9" x14ac:dyDescent="0.3">
      <c r="B77" s="4">
        <v>5</v>
      </c>
      <c r="C77">
        <v>0</v>
      </c>
      <c r="D77" s="5">
        <v>8.8979999999999997E-3</v>
      </c>
      <c r="G77">
        <f t="shared" si="2"/>
        <v>5</v>
      </c>
      <c r="H77">
        <v>1</v>
      </c>
      <c r="I77">
        <f t="shared" si="3"/>
        <v>8.8979999999999997E-3</v>
      </c>
    </row>
    <row r="78" spans="2:9" x14ac:dyDescent="0.3">
      <c r="B78" s="4">
        <v>5</v>
      </c>
      <c r="C78">
        <v>180</v>
      </c>
      <c r="D78" s="5">
        <v>8.6269999999999993E-3</v>
      </c>
      <c r="G78">
        <f t="shared" si="2"/>
        <v>-5</v>
      </c>
      <c r="H78">
        <v>1</v>
      </c>
      <c r="I78">
        <f t="shared" si="3"/>
        <v>8.6269999999999993E-3</v>
      </c>
    </row>
    <row r="79" spans="2:9" x14ac:dyDescent="0.3">
      <c r="B79" s="4">
        <v>10</v>
      </c>
      <c r="C79">
        <v>0</v>
      </c>
      <c r="D79" s="5">
        <v>9.1710000000000003E-3</v>
      </c>
      <c r="G79">
        <f t="shared" si="2"/>
        <v>10</v>
      </c>
      <c r="H79">
        <v>1</v>
      </c>
      <c r="I79">
        <f t="shared" si="3"/>
        <v>9.1710000000000003E-3</v>
      </c>
    </row>
    <row r="80" spans="2:9" x14ac:dyDescent="0.3">
      <c r="B80" s="4">
        <v>10</v>
      </c>
      <c r="C80">
        <v>180</v>
      </c>
      <c r="D80" s="5">
        <v>8.5540000000000008E-3</v>
      </c>
      <c r="G80">
        <f t="shared" si="2"/>
        <v>-10</v>
      </c>
      <c r="H80">
        <v>1</v>
      </c>
      <c r="I80">
        <f t="shared" si="3"/>
        <v>8.5540000000000008E-3</v>
      </c>
    </row>
    <row r="81" spans="2:9" x14ac:dyDescent="0.3">
      <c r="B81" s="4">
        <v>15</v>
      </c>
      <c r="C81">
        <v>0</v>
      </c>
      <c r="D81" s="5">
        <v>9.5350000000000001E-3</v>
      </c>
      <c r="G81">
        <f t="shared" si="2"/>
        <v>15</v>
      </c>
      <c r="H81">
        <v>1</v>
      </c>
      <c r="I81">
        <f t="shared" si="3"/>
        <v>9.5350000000000001E-3</v>
      </c>
    </row>
    <row r="82" spans="2:9" x14ac:dyDescent="0.3">
      <c r="B82" s="4">
        <v>15</v>
      </c>
      <c r="C82">
        <v>180</v>
      </c>
      <c r="D82" s="5">
        <v>8.5880000000000001E-3</v>
      </c>
      <c r="G82">
        <f t="shared" si="2"/>
        <v>-15</v>
      </c>
      <c r="H82">
        <v>1</v>
      </c>
      <c r="I82">
        <f t="shared" si="3"/>
        <v>8.5880000000000001E-3</v>
      </c>
    </row>
    <row r="83" spans="2:9" x14ac:dyDescent="0.3">
      <c r="B83" s="4">
        <v>20</v>
      </c>
      <c r="C83">
        <v>0</v>
      </c>
      <c r="D83" s="5">
        <v>9.9830000000000006E-3</v>
      </c>
      <c r="G83">
        <f t="shared" si="2"/>
        <v>20</v>
      </c>
      <c r="H83">
        <v>1</v>
      </c>
      <c r="I83">
        <f t="shared" si="3"/>
        <v>9.9830000000000006E-3</v>
      </c>
    </row>
    <row r="84" spans="2:9" x14ac:dyDescent="0.3">
      <c r="B84" s="4">
        <v>20</v>
      </c>
      <c r="C84">
        <v>180</v>
      </c>
      <c r="D84" s="5">
        <v>8.6820000000000005E-3</v>
      </c>
      <c r="G84">
        <f t="shared" si="2"/>
        <v>-20</v>
      </c>
      <c r="H84">
        <v>1</v>
      </c>
      <c r="I84">
        <f t="shared" si="3"/>
        <v>8.6820000000000005E-3</v>
      </c>
    </row>
    <row r="85" spans="2:9" x14ac:dyDescent="0.3">
      <c r="B85" s="4">
        <v>25</v>
      </c>
      <c r="C85">
        <v>0</v>
      </c>
      <c r="D85" s="5">
        <v>1.0557E-2</v>
      </c>
      <c r="G85">
        <f t="shared" si="2"/>
        <v>25</v>
      </c>
      <c r="H85">
        <v>1</v>
      </c>
      <c r="I85">
        <f t="shared" si="3"/>
        <v>1.0557E-2</v>
      </c>
    </row>
    <row r="86" spans="2:9" x14ac:dyDescent="0.3">
      <c r="B86" s="4">
        <v>25</v>
      </c>
      <c r="C86">
        <v>180</v>
      </c>
      <c r="D86" s="5">
        <v>8.8109999999999994E-3</v>
      </c>
      <c r="G86">
        <f t="shared" si="2"/>
        <v>-25</v>
      </c>
      <c r="H86">
        <v>1</v>
      </c>
      <c r="I86">
        <f t="shared" si="3"/>
        <v>8.8109999999999994E-3</v>
      </c>
    </row>
    <row r="87" spans="2:9" x14ac:dyDescent="0.3">
      <c r="B87" s="4">
        <v>30</v>
      </c>
      <c r="C87">
        <v>0</v>
      </c>
      <c r="D87" s="5">
        <v>1.1448E-2</v>
      </c>
      <c r="G87">
        <f t="shared" si="2"/>
        <v>30</v>
      </c>
      <c r="H87">
        <v>1</v>
      </c>
      <c r="I87">
        <f t="shared" si="3"/>
        <v>1.1448E-2</v>
      </c>
    </row>
    <row r="88" spans="2:9" x14ac:dyDescent="0.3">
      <c r="B88" s="4">
        <v>30</v>
      </c>
      <c r="C88">
        <v>180</v>
      </c>
      <c r="D88" s="5">
        <v>9.0449999999999992E-3</v>
      </c>
      <c r="G88">
        <f t="shared" si="2"/>
        <v>-30</v>
      </c>
      <c r="H88">
        <v>1</v>
      </c>
      <c r="I88">
        <f t="shared" si="3"/>
        <v>9.0449999999999992E-3</v>
      </c>
    </row>
    <row r="89" spans="2:9" x14ac:dyDescent="0.3">
      <c r="B89" s="4">
        <v>35</v>
      </c>
      <c r="C89">
        <v>0</v>
      </c>
      <c r="D89" s="5">
        <v>1.2596E-2</v>
      </c>
      <c r="G89">
        <f t="shared" si="2"/>
        <v>35</v>
      </c>
      <c r="H89">
        <v>1</v>
      </c>
      <c r="I89">
        <f t="shared" si="3"/>
        <v>1.2596E-2</v>
      </c>
    </row>
    <row r="90" spans="2:9" x14ac:dyDescent="0.3">
      <c r="B90" s="4">
        <v>35</v>
      </c>
      <c r="C90">
        <v>180</v>
      </c>
      <c r="D90" s="5">
        <v>9.3810000000000004E-3</v>
      </c>
      <c r="G90">
        <f t="shared" si="2"/>
        <v>-35</v>
      </c>
      <c r="H90">
        <v>1</v>
      </c>
      <c r="I90">
        <f t="shared" si="3"/>
        <v>9.3810000000000004E-3</v>
      </c>
    </row>
    <row r="91" spans="2:9" x14ac:dyDescent="0.3">
      <c r="B91" s="4">
        <v>40</v>
      </c>
      <c r="C91">
        <v>0</v>
      </c>
      <c r="D91" s="5">
        <v>1.4033E-2</v>
      </c>
      <c r="G91">
        <f t="shared" si="2"/>
        <v>40</v>
      </c>
      <c r="H91">
        <v>1</v>
      </c>
      <c r="I91">
        <f t="shared" si="3"/>
        <v>1.4033E-2</v>
      </c>
    </row>
    <row r="92" spans="2:9" x14ac:dyDescent="0.3">
      <c r="B92" s="4">
        <v>40</v>
      </c>
      <c r="C92">
        <v>180</v>
      </c>
      <c r="D92" s="5">
        <v>9.8049999999999995E-3</v>
      </c>
      <c r="G92">
        <f t="shared" si="2"/>
        <v>-40</v>
      </c>
      <c r="H92">
        <v>1</v>
      </c>
      <c r="I92">
        <f t="shared" si="3"/>
        <v>9.8049999999999995E-3</v>
      </c>
    </row>
    <row r="93" spans="2:9" x14ac:dyDescent="0.3">
      <c r="B93" s="4">
        <v>45</v>
      </c>
      <c r="C93">
        <v>0</v>
      </c>
      <c r="D93" s="5">
        <v>1.6039000000000001E-2</v>
      </c>
      <c r="G93">
        <f t="shared" si="2"/>
        <v>45</v>
      </c>
      <c r="H93">
        <v>1</v>
      </c>
      <c r="I93">
        <f t="shared" si="3"/>
        <v>1.6039000000000001E-2</v>
      </c>
    </row>
    <row r="94" spans="2:9" x14ac:dyDescent="0.3">
      <c r="B94" s="4">
        <v>50</v>
      </c>
      <c r="C94">
        <v>0</v>
      </c>
      <c r="D94" s="5">
        <v>1.8693999999999999E-2</v>
      </c>
      <c r="G94">
        <f t="shared" si="2"/>
        <v>50</v>
      </c>
      <c r="H94">
        <v>1</v>
      </c>
      <c r="I94">
        <f t="shared" si="3"/>
        <v>1.8693999999999999E-2</v>
      </c>
    </row>
    <row r="95" spans="2:9" x14ac:dyDescent="0.3">
      <c r="B95" s="4">
        <v>55</v>
      </c>
      <c r="C95">
        <v>0</v>
      </c>
      <c r="D95" s="5">
        <v>2.2370999999999999E-2</v>
      </c>
      <c r="G95">
        <f t="shared" si="2"/>
        <v>55</v>
      </c>
      <c r="H95">
        <v>1</v>
      </c>
      <c r="I95">
        <f t="shared" si="3"/>
        <v>2.2370999999999999E-2</v>
      </c>
    </row>
    <row r="96" spans="2:9" x14ac:dyDescent="0.3">
      <c r="B96" s="4">
        <v>60</v>
      </c>
      <c r="C96">
        <v>0</v>
      </c>
      <c r="D96" s="5">
        <v>2.7507E-2</v>
      </c>
      <c r="G96">
        <f t="shared" si="2"/>
        <v>60</v>
      </c>
      <c r="H96">
        <v>1</v>
      </c>
      <c r="I96">
        <f t="shared" si="3"/>
        <v>2.7507E-2</v>
      </c>
    </row>
    <row r="97" spans="2:9" x14ac:dyDescent="0.3">
      <c r="B97" s="4">
        <v>60</v>
      </c>
      <c r="C97">
        <v>180</v>
      </c>
      <c r="D97" s="5">
        <v>1.0638999999999999E-2</v>
      </c>
      <c r="G97">
        <f t="shared" si="2"/>
        <v>-60</v>
      </c>
      <c r="H97">
        <v>1</v>
      </c>
      <c r="I97">
        <f t="shared" si="3"/>
        <v>1.0638999999999999E-2</v>
      </c>
    </row>
    <row r="98" spans="2:9" x14ac:dyDescent="0.3">
      <c r="B98" s="4">
        <v>65</v>
      </c>
      <c r="C98">
        <v>0</v>
      </c>
      <c r="D98" s="5">
        <v>3.4832000000000002E-2</v>
      </c>
      <c r="G98">
        <f t="shared" si="2"/>
        <v>65</v>
      </c>
      <c r="H98">
        <v>1</v>
      </c>
      <c r="I98">
        <f t="shared" si="3"/>
        <v>3.4832000000000002E-2</v>
      </c>
    </row>
    <row r="99" spans="2:9" x14ac:dyDescent="0.3">
      <c r="B99" s="4">
        <v>65</v>
      </c>
      <c r="C99">
        <v>180</v>
      </c>
      <c r="D99" s="5">
        <v>1.0411999999999999E-2</v>
      </c>
      <c r="G99">
        <f t="shared" si="2"/>
        <v>-65</v>
      </c>
      <c r="H99">
        <v>1</v>
      </c>
      <c r="I99">
        <f t="shared" si="3"/>
        <v>1.0411999999999999E-2</v>
      </c>
    </row>
    <row r="100" spans="2:9" x14ac:dyDescent="0.3">
      <c r="B100" s="4">
        <v>70</v>
      </c>
      <c r="C100">
        <v>0</v>
      </c>
      <c r="D100" s="5">
        <v>4.5037000000000001E-2</v>
      </c>
      <c r="G100">
        <f t="shared" si="2"/>
        <v>70</v>
      </c>
      <c r="H100">
        <v>1</v>
      </c>
      <c r="I100">
        <f t="shared" si="3"/>
        <v>4.5037000000000001E-2</v>
      </c>
    </row>
    <row r="101" spans="2:9" x14ac:dyDescent="0.3">
      <c r="B101" s="4">
        <v>70</v>
      </c>
      <c r="C101">
        <v>180</v>
      </c>
      <c r="D101" s="5">
        <v>1.0155000000000001E-2</v>
      </c>
      <c r="G101">
        <f t="shared" si="2"/>
        <v>-70</v>
      </c>
      <c r="H101">
        <v>1</v>
      </c>
      <c r="I101">
        <f t="shared" si="3"/>
        <v>1.0155000000000001E-2</v>
      </c>
    </row>
    <row r="102" spans="2:9" x14ac:dyDescent="0.3">
      <c r="B102" s="4">
        <v>75</v>
      </c>
      <c r="C102">
        <v>0</v>
      </c>
      <c r="D102" s="5">
        <v>5.8821999999999999E-2</v>
      </c>
      <c r="G102">
        <f t="shared" si="2"/>
        <v>75</v>
      </c>
      <c r="H102">
        <v>1</v>
      </c>
      <c r="I102">
        <f t="shared" si="3"/>
        <v>5.8821999999999999E-2</v>
      </c>
    </row>
    <row r="103" spans="2:9" x14ac:dyDescent="0.3">
      <c r="B103" s="4">
        <v>75</v>
      </c>
      <c r="C103">
        <v>180</v>
      </c>
      <c r="D103" s="5">
        <v>9.8189999999999996E-3</v>
      </c>
      <c r="G103">
        <f t="shared" si="2"/>
        <v>-75</v>
      </c>
      <c r="H103">
        <v>1</v>
      </c>
      <c r="I103">
        <f t="shared" si="3"/>
        <v>9.8189999999999996E-3</v>
      </c>
    </row>
    <row r="104" spans="2:9" x14ac:dyDescent="0.3">
      <c r="B104" s="4">
        <v>80</v>
      </c>
      <c r="C104">
        <v>0</v>
      </c>
      <c r="D104" s="5">
        <v>1.673E-3</v>
      </c>
      <c r="G104">
        <f t="shared" si="2"/>
        <v>80</v>
      </c>
      <c r="H104">
        <v>1</v>
      </c>
      <c r="I104">
        <f t="shared" si="3"/>
        <v>1.673E-3</v>
      </c>
    </row>
    <row r="105" spans="2:9" x14ac:dyDescent="0.3">
      <c r="B105" s="4">
        <v>80</v>
      </c>
      <c r="C105">
        <v>180</v>
      </c>
      <c r="D105" s="5">
        <v>6.0000000000000002E-5</v>
      </c>
      <c r="G105">
        <f t="shared" si="2"/>
        <v>-80</v>
      </c>
      <c r="H105">
        <v>1</v>
      </c>
      <c r="I105">
        <f t="shared" si="3"/>
        <v>6.0000000000000002E-5</v>
      </c>
    </row>
    <row r="106" spans="2:9" x14ac:dyDescent="0.3">
      <c r="B106" s="4">
        <v>85</v>
      </c>
      <c r="C106">
        <v>0</v>
      </c>
      <c r="D106" s="5">
        <v>0</v>
      </c>
      <c r="G106">
        <f t="shared" si="2"/>
        <v>85</v>
      </c>
      <c r="H106">
        <v>1</v>
      </c>
      <c r="I106">
        <f t="shared" si="3"/>
        <v>0</v>
      </c>
    </row>
    <row r="107" spans="2:9" x14ac:dyDescent="0.3">
      <c r="B107" s="4">
        <v>85</v>
      </c>
      <c r="C107">
        <v>180</v>
      </c>
      <c r="D107" s="5">
        <v>1.9999999999999999E-6</v>
      </c>
      <c r="G107">
        <f t="shared" si="2"/>
        <v>-85</v>
      </c>
      <c r="H107">
        <v>1</v>
      </c>
      <c r="I107">
        <f t="shared" si="3"/>
        <v>1.9999999999999999E-6</v>
      </c>
    </row>
    <row r="108" spans="2:9" x14ac:dyDescent="0.3">
      <c r="B108" s="4">
        <v>70</v>
      </c>
      <c r="C108">
        <v>0</v>
      </c>
      <c r="D108" s="5"/>
      <c r="H108">
        <v>1</v>
      </c>
      <c r="I108">
        <f t="shared" si="3"/>
        <v>0</v>
      </c>
    </row>
    <row r="109" spans="2:9" x14ac:dyDescent="0.3">
      <c r="B109" s="4">
        <v>0</v>
      </c>
      <c r="C109">
        <v>180</v>
      </c>
      <c r="D109" s="5">
        <v>9.1909999999999995E-3</v>
      </c>
      <c r="G109">
        <f t="shared" si="2"/>
        <v>0</v>
      </c>
      <c r="H109">
        <v>1</v>
      </c>
      <c r="I109">
        <f t="shared" si="3"/>
        <v>9.1909999999999995E-3</v>
      </c>
    </row>
    <row r="110" spans="2:9" x14ac:dyDescent="0.3">
      <c r="B110" s="4">
        <v>5</v>
      </c>
      <c r="C110">
        <v>0</v>
      </c>
      <c r="D110" s="5">
        <v>9.672E-3</v>
      </c>
      <c r="G110">
        <f t="shared" si="2"/>
        <v>5</v>
      </c>
      <c r="H110">
        <v>1</v>
      </c>
      <c r="I110">
        <f t="shared" si="3"/>
        <v>9.672E-3</v>
      </c>
    </row>
    <row r="111" spans="2:9" x14ac:dyDescent="0.3">
      <c r="B111" s="4">
        <v>5</v>
      </c>
      <c r="C111">
        <v>180</v>
      </c>
      <c r="D111" s="5">
        <v>8.8760000000000002E-3</v>
      </c>
      <c r="G111">
        <f t="shared" si="2"/>
        <v>-5</v>
      </c>
      <c r="H111">
        <v>1</v>
      </c>
      <c r="I111">
        <f t="shared" si="3"/>
        <v>8.8760000000000002E-3</v>
      </c>
    </row>
    <row r="112" spans="2:9" x14ac:dyDescent="0.3">
      <c r="B112" s="4">
        <v>10</v>
      </c>
      <c r="C112">
        <v>0</v>
      </c>
      <c r="D112" s="5">
        <v>1.0392999999999999E-2</v>
      </c>
      <c r="G112">
        <f t="shared" si="2"/>
        <v>10</v>
      </c>
      <c r="H112">
        <v>1</v>
      </c>
      <c r="I112">
        <f t="shared" si="3"/>
        <v>1.0392999999999999E-2</v>
      </c>
    </row>
    <row r="113" spans="2:9" x14ac:dyDescent="0.3">
      <c r="B113" s="4">
        <v>10</v>
      </c>
      <c r="C113">
        <v>180</v>
      </c>
      <c r="D113" s="5">
        <v>8.6309999999999998E-3</v>
      </c>
      <c r="G113">
        <f t="shared" si="2"/>
        <v>-10</v>
      </c>
      <c r="H113">
        <v>1</v>
      </c>
      <c r="I113">
        <f t="shared" si="3"/>
        <v>8.6309999999999998E-3</v>
      </c>
    </row>
    <row r="114" spans="2:9" x14ac:dyDescent="0.3">
      <c r="B114" s="4">
        <v>15</v>
      </c>
      <c r="C114">
        <v>0</v>
      </c>
      <c r="D114" s="5">
        <v>1.1287999999999999E-2</v>
      </c>
      <c r="G114">
        <f t="shared" si="2"/>
        <v>15</v>
      </c>
      <c r="H114">
        <v>1</v>
      </c>
      <c r="I114">
        <f t="shared" si="3"/>
        <v>1.1287999999999999E-2</v>
      </c>
    </row>
    <row r="115" spans="2:9" x14ac:dyDescent="0.3">
      <c r="B115" s="4">
        <v>15</v>
      </c>
      <c r="C115">
        <v>180</v>
      </c>
      <c r="D115" s="5">
        <v>8.4860000000000005E-3</v>
      </c>
      <c r="G115">
        <f t="shared" si="2"/>
        <v>-15</v>
      </c>
      <c r="H115">
        <v>1</v>
      </c>
      <c r="I115">
        <f t="shared" si="3"/>
        <v>8.4860000000000005E-3</v>
      </c>
    </row>
    <row r="116" spans="2:9" x14ac:dyDescent="0.3">
      <c r="B116" s="4">
        <v>20</v>
      </c>
      <c r="C116">
        <v>0</v>
      </c>
      <c r="D116" s="5">
        <v>1.2581999999999999E-2</v>
      </c>
      <c r="G116">
        <f t="shared" si="2"/>
        <v>20</v>
      </c>
      <c r="H116">
        <v>1</v>
      </c>
      <c r="I116">
        <f t="shared" si="3"/>
        <v>1.2581999999999999E-2</v>
      </c>
    </row>
    <row r="117" spans="2:9" x14ac:dyDescent="0.3">
      <c r="B117" s="4">
        <v>20</v>
      </c>
      <c r="C117">
        <v>180</v>
      </c>
      <c r="D117" s="5">
        <v>8.4489999999999999E-3</v>
      </c>
      <c r="G117">
        <f t="shared" si="2"/>
        <v>-20</v>
      </c>
      <c r="H117">
        <v>1</v>
      </c>
      <c r="I117">
        <f t="shared" si="3"/>
        <v>8.4489999999999999E-3</v>
      </c>
    </row>
    <row r="118" spans="2:9" x14ac:dyDescent="0.3">
      <c r="B118" s="4">
        <v>25</v>
      </c>
      <c r="C118">
        <v>0</v>
      </c>
      <c r="D118" s="5">
        <v>1.4354E-2</v>
      </c>
      <c r="G118">
        <f t="shared" si="2"/>
        <v>25</v>
      </c>
      <c r="H118">
        <v>1</v>
      </c>
      <c r="I118">
        <f t="shared" si="3"/>
        <v>1.4354E-2</v>
      </c>
    </row>
    <row r="119" spans="2:9" x14ac:dyDescent="0.3">
      <c r="B119" s="4">
        <v>25</v>
      </c>
      <c r="C119">
        <v>180</v>
      </c>
      <c r="D119" s="5">
        <v>8.4790000000000004E-3</v>
      </c>
      <c r="G119">
        <f t="shared" si="2"/>
        <v>-25</v>
      </c>
      <c r="H119">
        <v>1</v>
      </c>
      <c r="I119">
        <f t="shared" si="3"/>
        <v>8.4790000000000004E-3</v>
      </c>
    </row>
    <row r="120" spans="2:9" x14ac:dyDescent="0.3">
      <c r="B120" s="4">
        <v>30</v>
      </c>
      <c r="C120">
        <v>0</v>
      </c>
      <c r="D120" s="5">
        <v>1.6806000000000001E-2</v>
      </c>
      <c r="G120">
        <f t="shared" si="2"/>
        <v>30</v>
      </c>
      <c r="H120">
        <v>1</v>
      </c>
      <c r="I120">
        <f t="shared" si="3"/>
        <v>1.6806000000000001E-2</v>
      </c>
    </row>
    <row r="121" spans="2:9" x14ac:dyDescent="0.3">
      <c r="B121" s="4">
        <v>30</v>
      </c>
      <c r="C121">
        <v>180</v>
      </c>
      <c r="D121" s="5">
        <v>8.5970000000000005E-3</v>
      </c>
      <c r="G121">
        <f t="shared" si="2"/>
        <v>-30</v>
      </c>
      <c r="H121">
        <v>1</v>
      </c>
      <c r="I121">
        <f t="shared" si="3"/>
        <v>8.5970000000000005E-3</v>
      </c>
    </row>
    <row r="122" spans="2:9" x14ac:dyDescent="0.3">
      <c r="B122" s="4">
        <v>35</v>
      </c>
      <c r="C122">
        <v>0</v>
      </c>
      <c r="D122" s="5">
        <v>2.0315E-2</v>
      </c>
      <c r="G122">
        <f t="shared" si="2"/>
        <v>35</v>
      </c>
      <c r="H122">
        <v>1</v>
      </c>
      <c r="I122">
        <f t="shared" si="3"/>
        <v>2.0315E-2</v>
      </c>
    </row>
    <row r="123" spans="2:9" x14ac:dyDescent="0.3">
      <c r="B123" s="4">
        <v>35</v>
      </c>
      <c r="C123">
        <v>180</v>
      </c>
      <c r="D123" s="5">
        <v>8.8319999999999996E-3</v>
      </c>
      <c r="G123">
        <f t="shared" si="2"/>
        <v>-35</v>
      </c>
      <c r="H123">
        <v>1</v>
      </c>
      <c r="I123">
        <f t="shared" si="3"/>
        <v>8.8319999999999996E-3</v>
      </c>
    </row>
    <row r="124" spans="2:9" x14ac:dyDescent="0.3">
      <c r="B124" s="4">
        <v>40</v>
      </c>
      <c r="C124">
        <v>0</v>
      </c>
      <c r="D124" s="5">
        <v>2.5502E-2</v>
      </c>
      <c r="G124">
        <f t="shared" si="2"/>
        <v>40</v>
      </c>
      <c r="H124">
        <v>1</v>
      </c>
      <c r="I124">
        <f t="shared" si="3"/>
        <v>2.5502E-2</v>
      </c>
    </row>
    <row r="125" spans="2:9" x14ac:dyDescent="0.3">
      <c r="B125" s="4">
        <v>40</v>
      </c>
      <c r="C125">
        <v>180</v>
      </c>
      <c r="D125" s="5">
        <v>9.1660000000000005E-3</v>
      </c>
      <c r="G125">
        <f t="shared" si="2"/>
        <v>-40</v>
      </c>
      <c r="H125">
        <v>1</v>
      </c>
      <c r="I125">
        <f t="shared" si="3"/>
        <v>9.1660000000000005E-3</v>
      </c>
    </row>
    <row r="126" spans="2:9" x14ac:dyDescent="0.3">
      <c r="B126" s="4">
        <v>45</v>
      </c>
      <c r="C126">
        <v>0</v>
      </c>
      <c r="D126" s="5">
        <v>3.3250000000000002E-2</v>
      </c>
      <c r="G126">
        <f t="shared" si="2"/>
        <v>45</v>
      </c>
      <c r="H126">
        <v>1</v>
      </c>
      <c r="I126">
        <f t="shared" si="3"/>
        <v>3.3250000000000002E-2</v>
      </c>
    </row>
    <row r="127" spans="2:9" x14ac:dyDescent="0.3">
      <c r="B127" s="4">
        <v>45</v>
      </c>
      <c r="C127">
        <v>180</v>
      </c>
      <c r="D127" s="5">
        <v>9.672E-3</v>
      </c>
      <c r="G127">
        <f t="shared" si="2"/>
        <v>-45</v>
      </c>
      <c r="H127">
        <v>1</v>
      </c>
      <c r="I127">
        <f t="shared" si="3"/>
        <v>9.672E-3</v>
      </c>
    </row>
    <row r="128" spans="2:9" x14ac:dyDescent="0.3">
      <c r="B128" s="4">
        <v>50</v>
      </c>
      <c r="C128">
        <v>0</v>
      </c>
      <c r="D128" s="5">
        <v>4.5199000000000003E-2</v>
      </c>
      <c r="G128">
        <f t="shared" si="2"/>
        <v>50</v>
      </c>
      <c r="H128">
        <v>1</v>
      </c>
      <c r="I128">
        <f t="shared" si="3"/>
        <v>4.5199000000000003E-2</v>
      </c>
    </row>
    <row r="129" spans="2:9" x14ac:dyDescent="0.3">
      <c r="B129" s="4">
        <v>50</v>
      </c>
      <c r="C129">
        <v>180</v>
      </c>
      <c r="D129" s="5">
        <v>1.0343E-2</v>
      </c>
      <c r="G129">
        <f t="shared" si="2"/>
        <v>-50</v>
      </c>
      <c r="H129">
        <v>1</v>
      </c>
      <c r="I129">
        <f t="shared" si="3"/>
        <v>1.0343E-2</v>
      </c>
    </row>
    <row r="130" spans="2:9" x14ac:dyDescent="0.3">
      <c r="B130" s="4">
        <v>55</v>
      </c>
      <c r="C130">
        <v>0</v>
      </c>
      <c r="D130" s="5">
        <v>6.5110000000000001E-2</v>
      </c>
      <c r="G130">
        <f t="shared" si="2"/>
        <v>55</v>
      </c>
      <c r="H130">
        <v>1</v>
      </c>
      <c r="I130">
        <f t="shared" si="3"/>
        <v>6.5110000000000001E-2</v>
      </c>
    </row>
    <row r="131" spans="2:9" x14ac:dyDescent="0.3">
      <c r="B131" s="4">
        <v>55</v>
      </c>
      <c r="C131">
        <v>180</v>
      </c>
      <c r="D131" s="5">
        <v>1.1328E-2</v>
      </c>
      <c r="G131">
        <f t="shared" si="2"/>
        <v>-55</v>
      </c>
      <c r="H131">
        <v>1</v>
      </c>
      <c r="I131">
        <f t="shared" si="3"/>
        <v>1.1328E-2</v>
      </c>
    </row>
    <row r="132" spans="2:9" x14ac:dyDescent="0.3">
      <c r="B132" s="4">
        <v>60</v>
      </c>
      <c r="C132">
        <v>0</v>
      </c>
      <c r="D132" s="5">
        <v>9.8334000000000005E-2</v>
      </c>
      <c r="G132">
        <f t="shared" si="2"/>
        <v>60</v>
      </c>
      <c r="H132">
        <v>1</v>
      </c>
      <c r="I132">
        <f t="shared" si="3"/>
        <v>9.8334000000000005E-2</v>
      </c>
    </row>
    <row r="133" spans="2:9" x14ac:dyDescent="0.3">
      <c r="B133" s="4">
        <v>60</v>
      </c>
      <c r="C133">
        <v>180</v>
      </c>
      <c r="D133" s="5">
        <v>1.2389000000000001E-2</v>
      </c>
      <c r="G133">
        <f t="shared" si="2"/>
        <v>-60</v>
      </c>
      <c r="H133">
        <v>1</v>
      </c>
      <c r="I133">
        <f t="shared" si="3"/>
        <v>1.2389000000000001E-2</v>
      </c>
    </row>
    <row r="134" spans="2:9" x14ac:dyDescent="0.3">
      <c r="B134" s="4">
        <v>65</v>
      </c>
      <c r="C134">
        <v>0</v>
      </c>
      <c r="D134" s="5">
        <v>0.15698899999999999</v>
      </c>
      <c r="G134">
        <f t="shared" si="2"/>
        <v>65</v>
      </c>
      <c r="H134">
        <v>1</v>
      </c>
      <c r="I134">
        <f t="shared" si="3"/>
        <v>0.15698899999999999</v>
      </c>
    </row>
    <row r="135" spans="2:9" x14ac:dyDescent="0.3">
      <c r="B135" s="4">
        <v>70</v>
      </c>
      <c r="C135">
        <v>0</v>
      </c>
      <c r="D135" s="5">
        <v>0.26776299999999997</v>
      </c>
      <c r="G135">
        <f t="shared" si="2"/>
        <v>70</v>
      </c>
      <c r="H135">
        <v>1</v>
      </c>
      <c r="I135">
        <f t="shared" si="3"/>
        <v>0.26776299999999997</v>
      </c>
    </row>
    <row r="136" spans="2:9" x14ac:dyDescent="0.3">
      <c r="B136" s="4">
        <v>75</v>
      </c>
      <c r="C136">
        <v>0</v>
      </c>
      <c r="D136" s="5">
        <v>0.48294599999999999</v>
      </c>
      <c r="G136">
        <f t="shared" si="2"/>
        <v>75</v>
      </c>
      <c r="H136">
        <v>1</v>
      </c>
      <c r="I136">
        <f t="shared" si="3"/>
        <v>0.48294599999999999</v>
      </c>
    </row>
    <row r="137" spans="2:9" x14ac:dyDescent="0.3">
      <c r="B137" s="4">
        <v>80</v>
      </c>
      <c r="C137">
        <v>0</v>
      </c>
      <c r="D137" s="5">
        <v>1.1512819999999999</v>
      </c>
      <c r="G137">
        <f t="shared" si="2"/>
        <v>80</v>
      </c>
      <c r="H137">
        <v>1</v>
      </c>
      <c r="I137">
        <f t="shared" si="3"/>
        <v>1.1512819999999999</v>
      </c>
    </row>
    <row r="138" spans="2:9" x14ac:dyDescent="0.3">
      <c r="B138" s="4">
        <v>80</v>
      </c>
      <c r="C138">
        <v>180</v>
      </c>
      <c r="D138" s="5">
        <v>1.25E-4</v>
      </c>
      <c r="G138">
        <f t="shared" ref="G138:G140" si="4">IF(C138=0, B138, IF(C138=180, -B138, 270))</f>
        <v>-80</v>
      </c>
      <c r="H138">
        <v>1</v>
      </c>
      <c r="I138">
        <f t="shared" si="3"/>
        <v>1.25E-4</v>
      </c>
    </row>
    <row r="139" spans="2:9" x14ac:dyDescent="0.3">
      <c r="B139" s="4">
        <v>85</v>
      </c>
      <c r="C139">
        <v>0</v>
      </c>
      <c r="D139" s="5">
        <v>5.1E-5</v>
      </c>
      <c r="G139">
        <f t="shared" si="4"/>
        <v>85</v>
      </c>
      <c r="H139">
        <v>1</v>
      </c>
      <c r="I139">
        <f t="shared" ref="I139:I140" si="5">D139*H139</f>
        <v>5.1E-5</v>
      </c>
    </row>
    <row r="140" spans="2:9" ht="15" thickBot="1" x14ac:dyDescent="0.35">
      <c r="B140" s="6">
        <v>85</v>
      </c>
      <c r="C140" s="7">
        <v>180</v>
      </c>
      <c r="D140" s="8">
        <v>0.52665399999999996</v>
      </c>
      <c r="G140">
        <f t="shared" si="4"/>
        <v>-85</v>
      </c>
      <c r="H140">
        <v>1</v>
      </c>
      <c r="I140">
        <f t="shared" si="5"/>
        <v>0.52665399999999996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A8D2D-8D93-487A-8B4C-02EBF7E23634}">
  <dimension ref="A1:R141"/>
  <sheetViews>
    <sheetView topLeftCell="J38" zoomScale="95" workbookViewId="0">
      <selection activeCell="J13" sqref="J13"/>
    </sheetView>
  </sheetViews>
  <sheetFormatPr defaultRowHeight="14.4" x14ac:dyDescent="0.3"/>
  <cols>
    <col min="12" max="12" width="12" bestFit="1" customWidth="1"/>
  </cols>
  <sheetData>
    <row r="1" spans="1:12" x14ac:dyDescent="0.3">
      <c r="A1" t="s">
        <v>6</v>
      </c>
    </row>
    <row r="2" spans="1:12" x14ac:dyDescent="0.3">
      <c r="A2" t="s">
        <v>7</v>
      </c>
    </row>
    <row r="3" spans="1:12" x14ac:dyDescent="0.3">
      <c r="A3" t="s">
        <v>8</v>
      </c>
    </row>
    <row r="4" spans="1:12" x14ac:dyDescent="0.3">
      <c r="A4" t="s">
        <v>9</v>
      </c>
    </row>
    <row r="5" spans="1:12" x14ac:dyDescent="0.3">
      <c r="A5" t="s">
        <v>10</v>
      </c>
    </row>
    <row r="6" spans="1:12" x14ac:dyDescent="0.3">
      <c r="A6" t="s">
        <v>11</v>
      </c>
      <c r="B6" t="s">
        <v>12</v>
      </c>
      <c r="C6" t="s">
        <v>13</v>
      </c>
      <c r="D6" t="s">
        <v>14</v>
      </c>
      <c r="E6" t="s">
        <v>15</v>
      </c>
    </row>
    <row r="7" spans="1:12" x14ac:dyDescent="0.3">
      <c r="A7">
        <v>0</v>
      </c>
      <c r="B7">
        <v>0</v>
      </c>
      <c r="C7">
        <v>0</v>
      </c>
      <c r="D7">
        <v>0</v>
      </c>
      <c r="E7">
        <v>3.4E-5</v>
      </c>
    </row>
    <row r="8" spans="1:12" x14ac:dyDescent="0.3">
      <c r="A8">
        <v>0</v>
      </c>
      <c r="B8">
        <v>0</v>
      </c>
      <c r="C8">
        <v>0</v>
      </c>
      <c r="D8">
        <v>0</v>
      </c>
      <c r="E8">
        <v>2.8E-5</v>
      </c>
    </row>
    <row r="9" spans="1:12" x14ac:dyDescent="0.3">
      <c r="A9">
        <v>0</v>
      </c>
      <c r="B9">
        <v>0</v>
      </c>
      <c r="C9">
        <v>0</v>
      </c>
      <c r="D9">
        <v>0</v>
      </c>
      <c r="E9">
        <v>3.3000000000000003E-5</v>
      </c>
    </row>
    <row r="10" spans="1:12" x14ac:dyDescent="0.3">
      <c r="A10">
        <v>0</v>
      </c>
      <c r="B10">
        <v>0</v>
      </c>
      <c r="C10">
        <v>0</v>
      </c>
      <c r="D10">
        <v>0</v>
      </c>
      <c r="E10">
        <v>3.4999999999999997E-5</v>
      </c>
    </row>
    <row r="11" spans="1:12" x14ac:dyDescent="0.3">
      <c r="A11">
        <v>0</v>
      </c>
      <c r="B11">
        <v>0</v>
      </c>
      <c r="C11">
        <v>0</v>
      </c>
      <c r="D11">
        <v>0</v>
      </c>
      <c r="E11">
        <v>3.3000000000000003E-5</v>
      </c>
    </row>
    <row r="12" spans="1:12" x14ac:dyDescent="0.3">
      <c r="A12">
        <v>0</v>
      </c>
      <c r="B12">
        <v>0</v>
      </c>
      <c r="C12">
        <v>45</v>
      </c>
      <c r="D12">
        <v>0</v>
      </c>
      <c r="E12">
        <v>2.7292E-2</v>
      </c>
      <c r="I12" t="s">
        <v>18</v>
      </c>
      <c r="J12" t="s">
        <v>16</v>
      </c>
      <c r="K12" t="s">
        <v>17</v>
      </c>
      <c r="L12" t="s">
        <v>19</v>
      </c>
    </row>
    <row r="13" spans="1:12" x14ac:dyDescent="0.3">
      <c r="A13" s="9">
        <v>10</v>
      </c>
      <c r="B13" s="9">
        <v>0</v>
      </c>
      <c r="C13" s="9">
        <v>85</v>
      </c>
      <c r="D13" s="9">
        <v>180</v>
      </c>
      <c r="E13" s="9">
        <v>9.9999999999999995E-7</v>
      </c>
      <c r="F13" s="9"/>
      <c r="G13" s="9"/>
      <c r="H13" s="9"/>
      <c r="I13">
        <f>IF(D13=180,-C13,C13)</f>
        <v>-85</v>
      </c>
      <c r="J13">
        <f>1</f>
        <v>1</v>
      </c>
      <c r="K13" s="9">
        <f>E13*J13</f>
        <v>9.9999999999999995E-7</v>
      </c>
    </row>
    <row r="14" spans="1:12" x14ac:dyDescent="0.3">
      <c r="A14">
        <v>10</v>
      </c>
      <c r="B14">
        <v>0</v>
      </c>
      <c r="C14">
        <v>80</v>
      </c>
      <c r="D14">
        <v>180</v>
      </c>
      <c r="E14">
        <v>3.3599999999999998E-4</v>
      </c>
      <c r="I14">
        <f t="shared" ref="I14:I77" si="0">IF(D14=180,-C14,C14)</f>
        <v>-80</v>
      </c>
      <c r="J14">
        <f>1</f>
        <v>1</v>
      </c>
      <c r="K14">
        <f t="shared" ref="K14:K77" si="1">E14*J14</f>
        <v>3.3599999999999998E-4</v>
      </c>
    </row>
    <row r="15" spans="1:12" x14ac:dyDescent="0.3">
      <c r="A15">
        <v>10</v>
      </c>
      <c r="B15">
        <v>0</v>
      </c>
      <c r="C15">
        <v>75</v>
      </c>
      <c r="D15">
        <v>180</v>
      </c>
      <c r="E15">
        <v>3.3570999999999997E-2</v>
      </c>
      <c r="I15">
        <f t="shared" si="0"/>
        <v>-75</v>
      </c>
      <c r="J15">
        <f>1</f>
        <v>1</v>
      </c>
      <c r="K15">
        <f t="shared" si="1"/>
        <v>3.3570999999999997E-2</v>
      </c>
      <c r="L15">
        <f>(K15-MIN(K$15:K$42))/(MAX(K$15:K$42)-MIN(K$15:K$42))</f>
        <v>1</v>
      </c>
    </row>
    <row r="16" spans="1:12" x14ac:dyDescent="0.3">
      <c r="A16">
        <v>10</v>
      </c>
      <c r="B16">
        <v>0</v>
      </c>
      <c r="C16">
        <v>70</v>
      </c>
      <c r="D16">
        <v>180</v>
      </c>
      <c r="E16">
        <v>3.2462999999999999E-2</v>
      </c>
      <c r="I16">
        <f t="shared" si="0"/>
        <v>-70</v>
      </c>
      <c r="J16">
        <f>1</f>
        <v>1</v>
      </c>
      <c r="K16">
        <f t="shared" si="1"/>
        <v>3.2462999999999999E-2</v>
      </c>
      <c r="L16">
        <f t="shared" ref="L16:L42" si="2">(K16-MIN(K$15:K$42))/(MAX(K$15:K$42)-MIN(K$15:K$42))</f>
        <v>0.83772700644405418</v>
      </c>
    </row>
    <row r="17" spans="1:12" x14ac:dyDescent="0.3">
      <c r="A17">
        <v>10</v>
      </c>
      <c r="B17">
        <v>0</v>
      </c>
      <c r="C17">
        <v>65</v>
      </c>
      <c r="D17">
        <v>180</v>
      </c>
      <c r="E17">
        <v>3.1241000000000001E-2</v>
      </c>
      <c r="I17">
        <f t="shared" si="0"/>
        <v>-65</v>
      </c>
      <c r="J17">
        <f>1</f>
        <v>1</v>
      </c>
      <c r="K17">
        <f t="shared" si="1"/>
        <v>3.1241000000000001E-2</v>
      </c>
      <c r="L17">
        <f t="shared" si="2"/>
        <v>0.65875805506737017</v>
      </c>
    </row>
    <row r="18" spans="1:12" x14ac:dyDescent="0.3">
      <c r="A18">
        <v>10</v>
      </c>
      <c r="B18">
        <v>0</v>
      </c>
      <c r="C18">
        <v>60</v>
      </c>
      <c r="D18">
        <v>180</v>
      </c>
      <c r="E18">
        <v>3.024E-2</v>
      </c>
      <c r="I18">
        <f t="shared" si="0"/>
        <v>-60</v>
      </c>
      <c r="J18">
        <f>1</f>
        <v>1</v>
      </c>
      <c r="K18">
        <f t="shared" si="1"/>
        <v>3.024E-2</v>
      </c>
      <c r="L18">
        <f t="shared" si="2"/>
        <v>0.5121558289396605</v>
      </c>
    </row>
    <row r="19" spans="1:12" x14ac:dyDescent="0.3">
      <c r="A19">
        <v>10</v>
      </c>
      <c r="B19">
        <v>0</v>
      </c>
      <c r="C19">
        <v>55</v>
      </c>
      <c r="D19">
        <v>180</v>
      </c>
      <c r="E19">
        <v>2.9395000000000001E-2</v>
      </c>
      <c r="I19">
        <f t="shared" si="0"/>
        <v>-55</v>
      </c>
      <c r="J19">
        <f>1</f>
        <v>1</v>
      </c>
      <c r="K19">
        <f t="shared" si="1"/>
        <v>2.9395000000000001E-2</v>
      </c>
      <c r="L19">
        <f t="shared" si="2"/>
        <v>0.38840070298769808</v>
      </c>
    </row>
    <row r="20" spans="1:12" x14ac:dyDescent="0.3">
      <c r="A20">
        <v>10</v>
      </c>
      <c r="B20">
        <v>0</v>
      </c>
      <c r="C20">
        <v>50</v>
      </c>
      <c r="D20">
        <v>180</v>
      </c>
      <c r="E20">
        <v>2.8819000000000001E-2</v>
      </c>
      <c r="I20">
        <f t="shared" si="0"/>
        <v>-50</v>
      </c>
      <c r="J20">
        <f>1</f>
        <v>1</v>
      </c>
      <c r="K20">
        <f t="shared" si="1"/>
        <v>2.8819000000000001E-2</v>
      </c>
      <c r="L20">
        <f t="shared" si="2"/>
        <v>0.30404217926186328</v>
      </c>
    </row>
    <row r="21" spans="1:12" x14ac:dyDescent="0.3">
      <c r="A21">
        <v>10</v>
      </c>
      <c r="B21">
        <v>0</v>
      </c>
      <c r="C21">
        <v>45</v>
      </c>
      <c r="D21">
        <v>180</v>
      </c>
      <c r="E21">
        <v>2.8323000000000001E-2</v>
      </c>
      <c r="I21">
        <f t="shared" si="0"/>
        <v>-45</v>
      </c>
      <c r="J21">
        <f>1</f>
        <v>1</v>
      </c>
      <c r="K21">
        <f t="shared" si="1"/>
        <v>2.8323000000000001E-2</v>
      </c>
      <c r="L21">
        <f t="shared" si="2"/>
        <v>0.23140011716461661</v>
      </c>
    </row>
    <row r="22" spans="1:12" x14ac:dyDescent="0.3">
      <c r="A22">
        <v>10</v>
      </c>
      <c r="B22">
        <v>0</v>
      </c>
      <c r="C22">
        <v>40</v>
      </c>
      <c r="D22">
        <v>180</v>
      </c>
      <c r="E22">
        <v>2.7966999999999999E-2</v>
      </c>
      <c r="I22">
        <f t="shared" si="0"/>
        <v>-40</v>
      </c>
      <c r="J22">
        <f>1</f>
        <v>1</v>
      </c>
      <c r="K22">
        <f t="shared" si="1"/>
        <v>2.7966999999999999E-2</v>
      </c>
      <c r="L22">
        <f t="shared" si="2"/>
        <v>0.17926186291739893</v>
      </c>
    </row>
    <row r="23" spans="1:12" x14ac:dyDescent="0.3">
      <c r="A23">
        <v>10</v>
      </c>
      <c r="B23">
        <v>0</v>
      </c>
      <c r="C23">
        <v>35</v>
      </c>
      <c r="D23">
        <v>180</v>
      </c>
      <c r="E23">
        <v>2.7795E-2</v>
      </c>
      <c r="I23">
        <f t="shared" si="0"/>
        <v>-35</v>
      </c>
      <c r="J23">
        <f>1</f>
        <v>1</v>
      </c>
      <c r="K23">
        <f t="shared" si="1"/>
        <v>2.7795E-2</v>
      </c>
      <c r="L23">
        <f t="shared" si="2"/>
        <v>0.15407147041593458</v>
      </c>
    </row>
    <row r="24" spans="1:12" x14ac:dyDescent="0.3">
      <c r="A24">
        <v>10</v>
      </c>
      <c r="B24">
        <v>0</v>
      </c>
      <c r="C24">
        <v>30</v>
      </c>
      <c r="D24">
        <v>180</v>
      </c>
      <c r="E24">
        <v>2.7838999999999999E-2</v>
      </c>
      <c r="I24">
        <f t="shared" si="0"/>
        <v>-30</v>
      </c>
      <c r="J24">
        <f>1</f>
        <v>1</v>
      </c>
      <c r="K24">
        <f t="shared" si="1"/>
        <v>2.7838999999999999E-2</v>
      </c>
      <c r="L24">
        <f t="shared" si="2"/>
        <v>0.16051552431165791</v>
      </c>
    </row>
    <row r="25" spans="1:12" x14ac:dyDescent="0.3">
      <c r="A25">
        <v>10</v>
      </c>
      <c r="B25">
        <v>0</v>
      </c>
      <c r="C25">
        <v>25</v>
      </c>
      <c r="D25">
        <v>180</v>
      </c>
      <c r="E25">
        <v>2.7959999999999999E-2</v>
      </c>
      <c r="I25">
        <f t="shared" si="0"/>
        <v>-25</v>
      </c>
      <c r="J25">
        <f>1</f>
        <v>1</v>
      </c>
      <c r="K25">
        <f t="shared" si="1"/>
        <v>2.7959999999999999E-2</v>
      </c>
      <c r="L25">
        <f t="shared" si="2"/>
        <v>0.17823667252489744</v>
      </c>
    </row>
    <row r="26" spans="1:12" x14ac:dyDescent="0.3">
      <c r="A26">
        <v>10</v>
      </c>
      <c r="B26">
        <v>0</v>
      </c>
      <c r="C26">
        <v>20</v>
      </c>
      <c r="D26">
        <v>180</v>
      </c>
      <c r="E26">
        <v>2.7942000000000002E-2</v>
      </c>
      <c r="I26">
        <f t="shared" si="0"/>
        <v>-20</v>
      </c>
      <c r="J26">
        <f>1</f>
        <v>1</v>
      </c>
      <c r="K26">
        <f t="shared" si="1"/>
        <v>2.7942000000000002E-2</v>
      </c>
      <c r="L26">
        <f t="shared" si="2"/>
        <v>0.17560046865846554</v>
      </c>
    </row>
    <row r="27" spans="1:12" x14ac:dyDescent="0.3">
      <c r="A27">
        <v>10</v>
      </c>
      <c r="B27">
        <v>0</v>
      </c>
      <c r="C27">
        <v>15</v>
      </c>
      <c r="D27">
        <v>180</v>
      </c>
      <c r="E27">
        <v>2.8041E-2</v>
      </c>
      <c r="I27">
        <f t="shared" si="0"/>
        <v>-15</v>
      </c>
      <c r="J27">
        <f>1</f>
        <v>1</v>
      </c>
      <c r="K27">
        <f t="shared" si="1"/>
        <v>2.8041E-2</v>
      </c>
      <c r="L27">
        <f t="shared" si="2"/>
        <v>0.19009958992384315</v>
      </c>
    </row>
    <row r="28" spans="1:12" x14ac:dyDescent="0.3">
      <c r="A28">
        <v>10</v>
      </c>
      <c r="B28">
        <v>0</v>
      </c>
      <c r="C28">
        <v>10</v>
      </c>
      <c r="D28">
        <v>180</v>
      </c>
      <c r="E28">
        <v>2.8400000000000002E-2</v>
      </c>
      <c r="I28">
        <f t="shared" si="0"/>
        <v>-10</v>
      </c>
      <c r="J28">
        <f>1</f>
        <v>1</v>
      </c>
      <c r="K28">
        <f t="shared" si="1"/>
        <v>2.8400000000000002E-2</v>
      </c>
      <c r="L28">
        <f t="shared" si="2"/>
        <v>0.24267721148213281</v>
      </c>
    </row>
    <row r="29" spans="1:12" x14ac:dyDescent="0.3">
      <c r="A29">
        <v>10</v>
      </c>
      <c r="B29">
        <v>0</v>
      </c>
      <c r="C29">
        <v>5</v>
      </c>
      <c r="D29">
        <v>180</v>
      </c>
      <c r="E29">
        <v>2.8733999999999999E-2</v>
      </c>
      <c r="I29">
        <f t="shared" si="0"/>
        <v>-5</v>
      </c>
      <c r="J29">
        <f>1</f>
        <v>1</v>
      </c>
      <c r="K29">
        <f t="shared" si="1"/>
        <v>2.8733999999999999E-2</v>
      </c>
      <c r="L29">
        <f t="shared" si="2"/>
        <v>0.29159343878148808</v>
      </c>
    </row>
    <row r="30" spans="1:12" x14ac:dyDescent="0.3">
      <c r="A30">
        <v>10</v>
      </c>
      <c r="B30">
        <v>0</v>
      </c>
      <c r="C30">
        <v>0</v>
      </c>
      <c r="D30">
        <v>0</v>
      </c>
      <c r="E30">
        <v>2.9288999999999999E-2</v>
      </c>
      <c r="I30">
        <f t="shared" si="0"/>
        <v>0</v>
      </c>
      <c r="J30">
        <f>1</f>
        <v>1</v>
      </c>
      <c r="K30">
        <f t="shared" si="1"/>
        <v>2.9288999999999999E-2</v>
      </c>
      <c r="L30">
        <f t="shared" si="2"/>
        <v>0.37287639132981848</v>
      </c>
    </row>
    <row r="31" spans="1:12" x14ac:dyDescent="0.3">
      <c r="A31">
        <v>10</v>
      </c>
      <c r="B31">
        <v>0</v>
      </c>
      <c r="C31">
        <v>20</v>
      </c>
      <c r="D31">
        <v>0</v>
      </c>
      <c r="E31">
        <v>2.9034000000000001E-2</v>
      </c>
      <c r="I31">
        <f t="shared" si="0"/>
        <v>20</v>
      </c>
      <c r="J31">
        <f>1</f>
        <v>1</v>
      </c>
      <c r="K31">
        <f t="shared" si="1"/>
        <v>2.9034000000000001E-2</v>
      </c>
      <c r="L31">
        <f t="shared" si="2"/>
        <v>0.33553016988869394</v>
      </c>
    </row>
    <row r="32" spans="1:12" x14ac:dyDescent="0.3">
      <c r="A32">
        <v>10</v>
      </c>
      <c r="B32">
        <v>0</v>
      </c>
      <c r="C32">
        <v>25</v>
      </c>
      <c r="D32">
        <v>0</v>
      </c>
      <c r="E32">
        <v>2.8565E-2</v>
      </c>
      <c r="I32">
        <f t="shared" si="0"/>
        <v>25</v>
      </c>
      <c r="J32">
        <f>1</f>
        <v>1</v>
      </c>
      <c r="K32">
        <f t="shared" si="1"/>
        <v>2.8565E-2</v>
      </c>
      <c r="L32">
        <f t="shared" si="2"/>
        <v>0.26684241359109567</v>
      </c>
    </row>
    <row r="33" spans="1:12" x14ac:dyDescent="0.3">
      <c r="A33">
        <v>10</v>
      </c>
      <c r="B33">
        <v>0</v>
      </c>
      <c r="C33">
        <v>30</v>
      </c>
      <c r="D33">
        <v>0</v>
      </c>
      <c r="E33">
        <v>2.7959999999999999E-2</v>
      </c>
      <c r="I33">
        <f t="shared" si="0"/>
        <v>30</v>
      </c>
      <c r="J33">
        <f>1</f>
        <v>1</v>
      </c>
      <c r="K33">
        <f t="shared" si="1"/>
        <v>2.7959999999999999E-2</v>
      </c>
      <c r="L33">
        <f t="shared" si="2"/>
        <v>0.17823667252489744</v>
      </c>
    </row>
    <row r="34" spans="1:12" x14ac:dyDescent="0.3">
      <c r="A34">
        <v>10</v>
      </c>
      <c r="B34">
        <v>0</v>
      </c>
      <c r="C34">
        <v>35</v>
      </c>
      <c r="D34">
        <v>0</v>
      </c>
      <c r="E34">
        <v>2.7560999999999999E-2</v>
      </c>
      <c r="I34">
        <f t="shared" si="0"/>
        <v>35</v>
      </c>
      <c r="J34">
        <f>1</f>
        <v>1</v>
      </c>
      <c r="K34">
        <f t="shared" si="1"/>
        <v>2.7560999999999999E-2</v>
      </c>
      <c r="L34">
        <f t="shared" si="2"/>
        <v>0.11980082015231394</v>
      </c>
    </row>
    <row r="35" spans="1:12" x14ac:dyDescent="0.3">
      <c r="A35">
        <v>10</v>
      </c>
      <c r="B35">
        <v>0</v>
      </c>
      <c r="C35">
        <v>40</v>
      </c>
      <c r="D35">
        <v>0</v>
      </c>
      <c r="E35">
        <v>2.7293999999999999E-2</v>
      </c>
      <c r="I35">
        <f t="shared" si="0"/>
        <v>40</v>
      </c>
      <c r="J35">
        <f>1</f>
        <v>1</v>
      </c>
      <c r="K35">
        <f t="shared" si="1"/>
        <v>2.7293999999999999E-2</v>
      </c>
      <c r="L35">
        <f t="shared" si="2"/>
        <v>8.0697129466900941E-2</v>
      </c>
    </row>
    <row r="36" spans="1:12" x14ac:dyDescent="0.3">
      <c r="A36">
        <v>10</v>
      </c>
      <c r="B36">
        <v>0</v>
      </c>
      <c r="C36">
        <v>45</v>
      </c>
      <c r="D36">
        <v>0</v>
      </c>
      <c r="E36">
        <v>2.708E-2</v>
      </c>
      <c r="I36">
        <f t="shared" si="0"/>
        <v>45</v>
      </c>
      <c r="J36">
        <f>1</f>
        <v>1</v>
      </c>
      <c r="K36">
        <f t="shared" si="1"/>
        <v>2.708E-2</v>
      </c>
      <c r="L36">
        <f t="shared" si="2"/>
        <v>4.9355594610427746E-2</v>
      </c>
    </row>
    <row r="37" spans="1:12" x14ac:dyDescent="0.3">
      <c r="A37">
        <v>10</v>
      </c>
      <c r="B37">
        <v>0</v>
      </c>
      <c r="C37">
        <v>50</v>
      </c>
      <c r="D37">
        <v>0</v>
      </c>
      <c r="E37">
        <v>2.6908000000000001E-2</v>
      </c>
      <c r="I37">
        <f t="shared" si="0"/>
        <v>50</v>
      </c>
      <c r="J37">
        <f>1</f>
        <v>1</v>
      </c>
      <c r="K37">
        <f t="shared" si="1"/>
        <v>2.6908000000000001E-2</v>
      </c>
      <c r="L37">
        <f t="shared" si="2"/>
        <v>2.4165202108963387E-2</v>
      </c>
    </row>
    <row r="38" spans="1:12" x14ac:dyDescent="0.3">
      <c r="A38">
        <v>10</v>
      </c>
      <c r="B38">
        <v>0</v>
      </c>
      <c r="C38">
        <v>55</v>
      </c>
      <c r="D38">
        <v>0</v>
      </c>
      <c r="E38">
        <v>2.6886E-2</v>
      </c>
      <c r="I38">
        <f t="shared" si="0"/>
        <v>55</v>
      </c>
      <c r="J38">
        <f>1</f>
        <v>1</v>
      </c>
      <c r="K38">
        <f t="shared" si="1"/>
        <v>2.6886E-2</v>
      </c>
      <c r="L38">
        <f t="shared" si="2"/>
        <v>2.0943175161101467E-2</v>
      </c>
    </row>
    <row r="39" spans="1:12" x14ac:dyDescent="0.3">
      <c r="A39">
        <v>10</v>
      </c>
      <c r="B39">
        <v>0</v>
      </c>
      <c r="C39">
        <v>60</v>
      </c>
      <c r="D39">
        <v>0</v>
      </c>
      <c r="E39">
        <v>2.6860999999999999E-2</v>
      </c>
      <c r="I39">
        <f t="shared" si="0"/>
        <v>60</v>
      </c>
      <c r="J39">
        <f>1</f>
        <v>1</v>
      </c>
      <c r="K39">
        <f t="shared" si="1"/>
        <v>2.6860999999999999E-2</v>
      </c>
      <c r="L39">
        <f t="shared" si="2"/>
        <v>1.7281780902167559E-2</v>
      </c>
    </row>
    <row r="40" spans="1:12" x14ac:dyDescent="0.3">
      <c r="A40">
        <v>10</v>
      </c>
      <c r="B40">
        <v>0</v>
      </c>
      <c r="C40">
        <v>65</v>
      </c>
      <c r="D40">
        <v>0</v>
      </c>
      <c r="E40">
        <v>2.6918999999999998E-2</v>
      </c>
      <c r="I40">
        <f t="shared" si="0"/>
        <v>65</v>
      </c>
      <c r="J40">
        <f>1</f>
        <v>1</v>
      </c>
      <c r="K40">
        <f t="shared" si="1"/>
        <v>2.6918999999999998E-2</v>
      </c>
      <c r="L40">
        <f t="shared" si="2"/>
        <v>2.5776215582893839E-2</v>
      </c>
    </row>
    <row r="41" spans="1:12" x14ac:dyDescent="0.3">
      <c r="A41">
        <v>10</v>
      </c>
      <c r="B41">
        <v>0</v>
      </c>
      <c r="C41">
        <v>70</v>
      </c>
      <c r="D41">
        <v>0</v>
      </c>
      <c r="E41">
        <v>2.6894000000000001E-2</v>
      </c>
      <c r="I41">
        <f t="shared" si="0"/>
        <v>70</v>
      </c>
      <c r="J41">
        <f>1</f>
        <v>1</v>
      </c>
      <c r="K41">
        <f t="shared" si="1"/>
        <v>2.6894000000000001E-2</v>
      </c>
      <c r="L41">
        <f t="shared" si="2"/>
        <v>2.2114821323960442E-2</v>
      </c>
    </row>
    <row r="42" spans="1:12" x14ac:dyDescent="0.3">
      <c r="A42">
        <v>10</v>
      </c>
      <c r="B42">
        <v>0</v>
      </c>
      <c r="C42">
        <v>75</v>
      </c>
      <c r="D42">
        <v>0</v>
      </c>
      <c r="E42">
        <v>2.6742999999999999E-2</v>
      </c>
      <c r="I42">
        <f t="shared" si="0"/>
        <v>75</v>
      </c>
      <c r="J42">
        <f>1</f>
        <v>1</v>
      </c>
      <c r="K42">
        <f t="shared" si="1"/>
        <v>2.6742999999999999E-2</v>
      </c>
      <c r="L42">
        <f t="shared" si="2"/>
        <v>0</v>
      </c>
    </row>
    <row r="43" spans="1:12" x14ac:dyDescent="0.3">
      <c r="A43">
        <v>10</v>
      </c>
      <c r="B43">
        <v>0</v>
      </c>
      <c r="C43">
        <v>80</v>
      </c>
      <c r="D43">
        <v>0</v>
      </c>
      <c r="E43">
        <v>1.63E-4</v>
      </c>
      <c r="I43">
        <f t="shared" si="0"/>
        <v>80</v>
      </c>
      <c r="J43">
        <f>1</f>
        <v>1</v>
      </c>
      <c r="K43">
        <f t="shared" si="1"/>
        <v>1.63E-4</v>
      </c>
    </row>
    <row r="44" spans="1:12" x14ac:dyDescent="0.3">
      <c r="A44">
        <v>10</v>
      </c>
      <c r="B44">
        <v>0</v>
      </c>
      <c r="C44">
        <v>85</v>
      </c>
      <c r="D44">
        <v>0</v>
      </c>
      <c r="E44">
        <v>9.9999999999999995E-7</v>
      </c>
      <c r="I44">
        <f t="shared" si="0"/>
        <v>85</v>
      </c>
      <c r="J44">
        <f>1</f>
        <v>1</v>
      </c>
      <c r="K44">
        <f t="shared" si="1"/>
        <v>9.9999999999999995E-7</v>
      </c>
    </row>
    <row r="45" spans="1:12" x14ac:dyDescent="0.3">
      <c r="A45" s="9">
        <v>30</v>
      </c>
      <c r="B45" s="9">
        <v>0</v>
      </c>
      <c r="C45" s="9">
        <v>85</v>
      </c>
      <c r="D45" s="9">
        <v>180</v>
      </c>
      <c r="E45" s="9">
        <v>3.9999999999999998E-6</v>
      </c>
      <c r="F45" s="9"/>
      <c r="G45" s="9"/>
      <c r="H45" s="9"/>
      <c r="I45">
        <f t="shared" si="0"/>
        <v>-85</v>
      </c>
      <c r="J45">
        <f>1</f>
        <v>1</v>
      </c>
      <c r="K45" s="9">
        <f t="shared" si="1"/>
        <v>3.9999999999999998E-6</v>
      </c>
    </row>
    <row r="46" spans="1:12" x14ac:dyDescent="0.3">
      <c r="A46">
        <v>30</v>
      </c>
      <c r="B46">
        <v>0</v>
      </c>
      <c r="C46">
        <v>80</v>
      </c>
      <c r="D46">
        <v>180</v>
      </c>
      <c r="E46">
        <v>1.093E-3</v>
      </c>
      <c r="I46">
        <f t="shared" si="0"/>
        <v>-80</v>
      </c>
      <c r="J46">
        <f>1</f>
        <v>1</v>
      </c>
      <c r="K46">
        <f t="shared" si="1"/>
        <v>1.093E-3</v>
      </c>
    </row>
    <row r="47" spans="1:12" x14ac:dyDescent="0.3">
      <c r="A47">
        <v>30</v>
      </c>
      <c r="B47">
        <v>0</v>
      </c>
      <c r="C47">
        <v>75</v>
      </c>
      <c r="D47">
        <v>180</v>
      </c>
      <c r="E47">
        <v>5.9083999999999998E-2</v>
      </c>
      <c r="I47">
        <f t="shared" si="0"/>
        <v>-75</v>
      </c>
      <c r="J47">
        <f>1</f>
        <v>1</v>
      </c>
      <c r="K47">
        <f t="shared" si="1"/>
        <v>5.9083999999999998E-2</v>
      </c>
      <c r="L47">
        <f>(K47-MIN(K$47:K$74))/(MAX(K$47:K$74)-MIN(K$47:K$74))</f>
        <v>1</v>
      </c>
    </row>
    <row r="48" spans="1:12" x14ac:dyDescent="0.3">
      <c r="A48">
        <v>30</v>
      </c>
      <c r="B48">
        <v>0</v>
      </c>
      <c r="C48">
        <v>70</v>
      </c>
      <c r="D48">
        <v>180</v>
      </c>
      <c r="E48">
        <v>5.2417999999999999E-2</v>
      </c>
      <c r="I48">
        <f t="shared" si="0"/>
        <v>-70</v>
      </c>
      <c r="J48">
        <f>1</f>
        <v>1</v>
      </c>
      <c r="K48">
        <f t="shared" si="1"/>
        <v>5.2417999999999999E-2</v>
      </c>
      <c r="L48">
        <f t="shared" ref="L48:L74" si="3">(K48-MIN(K$47:K$74))/(MAX(K$47:K$74)-MIN(K$47:K$74))</f>
        <v>0.79773030707610149</v>
      </c>
    </row>
    <row r="49" spans="1:12" x14ac:dyDescent="0.3">
      <c r="A49">
        <v>30</v>
      </c>
      <c r="B49">
        <v>0</v>
      </c>
      <c r="C49">
        <v>65</v>
      </c>
      <c r="D49">
        <v>180</v>
      </c>
      <c r="E49">
        <v>4.6706999999999999E-2</v>
      </c>
      <c r="I49">
        <f t="shared" si="0"/>
        <v>-65</v>
      </c>
      <c r="J49">
        <f>1</f>
        <v>1</v>
      </c>
      <c r="K49">
        <f t="shared" si="1"/>
        <v>4.6706999999999999E-2</v>
      </c>
      <c r="L49">
        <f t="shared" si="3"/>
        <v>0.62443864546668282</v>
      </c>
    </row>
    <row r="50" spans="1:12" x14ac:dyDescent="0.3">
      <c r="A50">
        <v>30</v>
      </c>
      <c r="B50">
        <v>0</v>
      </c>
      <c r="C50">
        <v>60</v>
      </c>
      <c r="D50">
        <v>180</v>
      </c>
      <c r="E50">
        <v>4.2162999999999999E-2</v>
      </c>
      <c r="I50">
        <f t="shared" si="0"/>
        <v>-60</v>
      </c>
      <c r="J50">
        <f>1</f>
        <v>1</v>
      </c>
      <c r="K50">
        <f t="shared" si="1"/>
        <v>4.2162999999999999E-2</v>
      </c>
      <c r="L50">
        <f t="shared" si="3"/>
        <v>0.48655783468867586</v>
      </c>
    </row>
    <row r="51" spans="1:12" x14ac:dyDescent="0.3">
      <c r="A51">
        <v>30</v>
      </c>
      <c r="B51">
        <v>0</v>
      </c>
      <c r="C51">
        <v>55</v>
      </c>
      <c r="D51">
        <v>180</v>
      </c>
      <c r="E51">
        <v>3.8649000000000003E-2</v>
      </c>
      <c r="I51">
        <f t="shared" si="0"/>
        <v>-55</v>
      </c>
      <c r="J51">
        <f>1</f>
        <v>1</v>
      </c>
      <c r="K51">
        <f t="shared" si="1"/>
        <v>3.8649000000000003E-2</v>
      </c>
      <c r="L51">
        <f t="shared" si="3"/>
        <v>0.37993081684670482</v>
      </c>
    </row>
    <row r="52" spans="1:12" x14ac:dyDescent="0.3">
      <c r="A52">
        <v>30</v>
      </c>
      <c r="B52">
        <v>0</v>
      </c>
      <c r="C52">
        <v>50</v>
      </c>
      <c r="D52">
        <v>180</v>
      </c>
      <c r="E52">
        <v>3.5965999999999998E-2</v>
      </c>
      <c r="I52">
        <f t="shared" si="0"/>
        <v>-50</v>
      </c>
      <c r="J52">
        <f>1</f>
        <v>1</v>
      </c>
      <c r="K52">
        <f t="shared" si="1"/>
        <v>3.5965999999999998E-2</v>
      </c>
      <c r="L52">
        <f t="shared" si="3"/>
        <v>0.29851923777157419</v>
      </c>
    </row>
    <row r="53" spans="1:12" x14ac:dyDescent="0.3">
      <c r="A53">
        <v>30</v>
      </c>
      <c r="B53">
        <v>0</v>
      </c>
      <c r="C53">
        <v>45</v>
      </c>
      <c r="D53">
        <v>180</v>
      </c>
      <c r="E53">
        <v>3.3870999999999998E-2</v>
      </c>
      <c r="I53">
        <f t="shared" si="0"/>
        <v>-45</v>
      </c>
      <c r="J53">
        <f>1</f>
        <v>1</v>
      </c>
      <c r="K53">
        <f t="shared" si="1"/>
        <v>3.3870999999999998E-2</v>
      </c>
      <c r="L53">
        <f t="shared" si="3"/>
        <v>0.23494962980944289</v>
      </c>
    </row>
    <row r="54" spans="1:12" x14ac:dyDescent="0.3">
      <c r="A54">
        <v>30</v>
      </c>
      <c r="B54">
        <v>0</v>
      </c>
      <c r="C54">
        <v>40</v>
      </c>
      <c r="D54">
        <v>180</v>
      </c>
      <c r="E54">
        <v>3.2166E-2</v>
      </c>
      <c r="I54">
        <f t="shared" si="0"/>
        <v>-40</v>
      </c>
      <c r="J54">
        <f>1</f>
        <v>1</v>
      </c>
      <c r="K54">
        <f t="shared" si="1"/>
        <v>3.2166E-2</v>
      </c>
      <c r="L54">
        <f t="shared" si="3"/>
        <v>0.18321398227940289</v>
      </c>
    </row>
    <row r="55" spans="1:12" x14ac:dyDescent="0.3">
      <c r="A55">
        <v>30</v>
      </c>
      <c r="B55">
        <v>0</v>
      </c>
      <c r="C55">
        <v>35</v>
      </c>
      <c r="D55">
        <v>180</v>
      </c>
      <c r="E55">
        <v>3.0686999999999999E-2</v>
      </c>
      <c r="I55">
        <f t="shared" si="0"/>
        <v>-35</v>
      </c>
      <c r="J55">
        <f>1</f>
        <v>1</v>
      </c>
      <c r="K55">
        <f t="shared" si="1"/>
        <v>3.0686999999999999E-2</v>
      </c>
      <c r="L55">
        <f t="shared" si="3"/>
        <v>0.13833596310231827</v>
      </c>
    </row>
    <row r="56" spans="1:12" x14ac:dyDescent="0.3">
      <c r="A56">
        <v>30</v>
      </c>
      <c r="B56">
        <v>0</v>
      </c>
      <c r="C56">
        <v>30</v>
      </c>
      <c r="D56">
        <v>180</v>
      </c>
      <c r="E56">
        <v>2.9651E-2</v>
      </c>
      <c r="I56">
        <f t="shared" si="0"/>
        <v>-30</v>
      </c>
      <c r="J56">
        <f>1</f>
        <v>1</v>
      </c>
      <c r="K56">
        <f t="shared" si="1"/>
        <v>2.9651E-2</v>
      </c>
      <c r="L56">
        <f t="shared" si="3"/>
        <v>0.10690010923655789</v>
      </c>
    </row>
    <row r="57" spans="1:12" x14ac:dyDescent="0.3">
      <c r="A57">
        <v>30</v>
      </c>
      <c r="B57">
        <v>0</v>
      </c>
      <c r="C57">
        <v>25</v>
      </c>
      <c r="D57">
        <v>180</v>
      </c>
      <c r="E57">
        <v>2.9066000000000002E-2</v>
      </c>
      <c r="I57">
        <f t="shared" si="0"/>
        <v>-25</v>
      </c>
      <c r="J57">
        <f>1</f>
        <v>1</v>
      </c>
      <c r="K57">
        <f t="shared" si="1"/>
        <v>2.9066000000000002E-2</v>
      </c>
      <c r="L57">
        <f t="shared" si="3"/>
        <v>8.9149168588421021E-2</v>
      </c>
    </row>
    <row r="58" spans="1:12" x14ac:dyDescent="0.3">
      <c r="A58">
        <v>30</v>
      </c>
      <c r="B58">
        <v>0</v>
      </c>
      <c r="C58">
        <v>20</v>
      </c>
      <c r="D58">
        <v>180</v>
      </c>
      <c r="E58">
        <v>2.8497999999999999E-2</v>
      </c>
      <c r="I58">
        <f t="shared" si="0"/>
        <v>-20</v>
      </c>
      <c r="J58">
        <f>1</f>
        <v>1</v>
      </c>
      <c r="K58">
        <f t="shared" si="1"/>
        <v>2.8497999999999999E-2</v>
      </c>
      <c r="L58">
        <f t="shared" si="3"/>
        <v>7.1914067241170068E-2</v>
      </c>
    </row>
    <row r="59" spans="1:12" x14ac:dyDescent="0.3">
      <c r="A59">
        <v>30</v>
      </c>
      <c r="B59">
        <v>0</v>
      </c>
      <c r="C59">
        <v>15</v>
      </c>
      <c r="D59">
        <v>180</v>
      </c>
      <c r="E59">
        <v>2.8035000000000001E-2</v>
      </c>
      <c r="I59">
        <f t="shared" si="0"/>
        <v>-15</v>
      </c>
      <c r="J59">
        <f>1</f>
        <v>1</v>
      </c>
      <c r="K59">
        <f t="shared" si="1"/>
        <v>2.8035000000000001E-2</v>
      </c>
      <c r="L59">
        <f t="shared" si="3"/>
        <v>5.7865032164097663E-2</v>
      </c>
    </row>
    <row r="60" spans="1:12" x14ac:dyDescent="0.3">
      <c r="A60">
        <v>30</v>
      </c>
      <c r="B60">
        <v>0</v>
      </c>
      <c r="C60">
        <v>10</v>
      </c>
      <c r="D60">
        <v>180</v>
      </c>
      <c r="E60">
        <v>2.7799000000000001E-2</v>
      </c>
      <c r="I60">
        <f t="shared" si="0"/>
        <v>-10</v>
      </c>
      <c r="J60">
        <f>1</f>
        <v>1</v>
      </c>
      <c r="K60">
        <f t="shared" si="1"/>
        <v>2.7799000000000001E-2</v>
      </c>
      <c r="L60">
        <f t="shared" si="3"/>
        <v>5.0703968928268069E-2</v>
      </c>
    </row>
    <row r="61" spans="1:12" x14ac:dyDescent="0.3">
      <c r="A61">
        <v>30</v>
      </c>
      <c r="B61">
        <v>0</v>
      </c>
      <c r="C61">
        <v>5</v>
      </c>
      <c r="D61">
        <v>180</v>
      </c>
      <c r="E61">
        <v>2.7626999999999999E-2</v>
      </c>
      <c r="I61">
        <f t="shared" si="0"/>
        <v>-5</v>
      </c>
      <c r="J61">
        <f>1</f>
        <v>1</v>
      </c>
      <c r="K61">
        <f t="shared" si="1"/>
        <v>2.7626999999999999E-2</v>
      </c>
      <c r="L61">
        <f t="shared" si="3"/>
        <v>4.5484888942832882E-2</v>
      </c>
    </row>
    <row r="62" spans="1:12" x14ac:dyDescent="0.3">
      <c r="A62">
        <v>30</v>
      </c>
      <c r="B62">
        <v>0</v>
      </c>
      <c r="C62">
        <v>0</v>
      </c>
      <c r="D62">
        <v>0</v>
      </c>
      <c r="E62">
        <v>2.7566E-2</v>
      </c>
      <c r="I62">
        <f t="shared" si="0"/>
        <v>0</v>
      </c>
      <c r="J62">
        <f>1</f>
        <v>1</v>
      </c>
      <c r="K62">
        <f t="shared" si="1"/>
        <v>2.7566E-2</v>
      </c>
      <c r="L62">
        <f t="shared" si="3"/>
        <v>4.3633936157300698E-2</v>
      </c>
    </row>
    <row r="63" spans="1:12" x14ac:dyDescent="0.3">
      <c r="A63">
        <v>30</v>
      </c>
      <c r="B63">
        <v>0</v>
      </c>
      <c r="C63">
        <v>5</v>
      </c>
      <c r="D63">
        <v>0</v>
      </c>
      <c r="E63">
        <v>2.7740999999999998E-2</v>
      </c>
      <c r="I63">
        <f t="shared" si="0"/>
        <v>5</v>
      </c>
      <c r="J63">
        <f>1</f>
        <v>1</v>
      </c>
      <c r="K63">
        <f t="shared" si="1"/>
        <v>2.7740999999999998E-2</v>
      </c>
      <c r="L63">
        <f t="shared" si="3"/>
        <v>4.8944046607598005E-2</v>
      </c>
    </row>
    <row r="64" spans="1:12" x14ac:dyDescent="0.3">
      <c r="A64">
        <v>30</v>
      </c>
      <c r="B64">
        <v>0</v>
      </c>
      <c r="C64">
        <v>10</v>
      </c>
      <c r="D64">
        <v>0</v>
      </c>
      <c r="E64">
        <v>2.7935000000000001E-2</v>
      </c>
      <c r="I64">
        <f t="shared" si="0"/>
        <v>10</v>
      </c>
      <c r="J64">
        <f>1</f>
        <v>1</v>
      </c>
      <c r="K64">
        <f t="shared" si="1"/>
        <v>2.7935000000000001E-2</v>
      </c>
      <c r="L64">
        <f t="shared" si="3"/>
        <v>5.4830683335356324E-2</v>
      </c>
    </row>
    <row r="65" spans="1:18" x14ac:dyDescent="0.3">
      <c r="A65">
        <v>30</v>
      </c>
      <c r="B65">
        <v>0</v>
      </c>
      <c r="C65">
        <v>15</v>
      </c>
      <c r="D65">
        <v>0</v>
      </c>
      <c r="E65">
        <v>2.8416E-2</v>
      </c>
      <c r="I65">
        <f t="shared" si="0"/>
        <v>15</v>
      </c>
      <c r="J65">
        <f>1</f>
        <v>1</v>
      </c>
      <c r="K65">
        <f t="shared" si="1"/>
        <v>2.8416E-2</v>
      </c>
      <c r="L65">
        <f t="shared" si="3"/>
        <v>6.9425901201602191E-2</v>
      </c>
    </row>
    <row r="66" spans="1:18" x14ac:dyDescent="0.3">
      <c r="A66">
        <v>30</v>
      </c>
      <c r="B66">
        <v>0</v>
      </c>
      <c r="C66">
        <v>20</v>
      </c>
      <c r="D66">
        <v>0</v>
      </c>
      <c r="E66">
        <v>2.9097000000000001E-2</v>
      </c>
      <c r="I66">
        <f t="shared" si="0"/>
        <v>20</v>
      </c>
      <c r="J66">
        <f>1</f>
        <v>1</v>
      </c>
      <c r="K66">
        <f t="shared" si="1"/>
        <v>2.9097000000000001E-2</v>
      </c>
      <c r="L66">
        <f t="shared" si="3"/>
        <v>9.008981672533084E-2</v>
      </c>
      <c r="Q66" s="10" t="s">
        <v>21</v>
      </c>
    </row>
    <row r="67" spans="1:18" x14ac:dyDescent="0.3">
      <c r="A67">
        <v>30</v>
      </c>
      <c r="B67">
        <v>0</v>
      </c>
      <c r="C67">
        <v>40</v>
      </c>
      <c r="D67">
        <v>0</v>
      </c>
      <c r="E67">
        <v>2.9530000000000001E-2</v>
      </c>
      <c r="I67">
        <f t="shared" si="0"/>
        <v>40</v>
      </c>
      <c r="J67">
        <f>1</f>
        <v>1</v>
      </c>
      <c r="K67">
        <f t="shared" si="1"/>
        <v>2.9530000000000001E-2</v>
      </c>
      <c r="L67">
        <f t="shared" si="3"/>
        <v>0.10322854715378087</v>
      </c>
    </row>
    <row r="68" spans="1:18" x14ac:dyDescent="0.3">
      <c r="A68">
        <v>30</v>
      </c>
      <c r="B68">
        <v>0</v>
      </c>
      <c r="C68">
        <v>45</v>
      </c>
      <c r="D68">
        <v>0</v>
      </c>
      <c r="E68">
        <v>2.8888E-2</v>
      </c>
      <c r="I68">
        <f t="shared" si="0"/>
        <v>45</v>
      </c>
      <c r="J68">
        <f>1</f>
        <v>1</v>
      </c>
      <c r="K68">
        <f t="shared" si="1"/>
        <v>2.8888E-2</v>
      </c>
      <c r="L68">
        <f t="shared" si="3"/>
        <v>8.374802767326138E-2</v>
      </c>
      <c r="R68" t="s">
        <v>20</v>
      </c>
    </row>
    <row r="69" spans="1:18" x14ac:dyDescent="0.3">
      <c r="A69">
        <v>30</v>
      </c>
      <c r="B69">
        <v>0</v>
      </c>
      <c r="C69">
        <v>50</v>
      </c>
      <c r="D69">
        <v>0</v>
      </c>
      <c r="E69">
        <v>2.8336E-2</v>
      </c>
      <c r="I69">
        <f t="shared" si="0"/>
        <v>50</v>
      </c>
      <c r="J69">
        <f>1</f>
        <v>1</v>
      </c>
      <c r="K69">
        <f t="shared" si="1"/>
        <v>2.8336E-2</v>
      </c>
      <c r="L69">
        <f t="shared" si="3"/>
        <v>6.6998422138609112E-2</v>
      </c>
    </row>
    <row r="70" spans="1:18" x14ac:dyDescent="0.3">
      <c r="A70">
        <v>30</v>
      </c>
      <c r="B70">
        <v>0</v>
      </c>
      <c r="C70">
        <v>55</v>
      </c>
      <c r="D70">
        <v>0</v>
      </c>
      <c r="E70">
        <v>2.8015999999999999E-2</v>
      </c>
      <c r="I70">
        <f t="shared" si="0"/>
        <v>55</v>
      </c>
      <c r="J70">
        <f>1</f>
        <v>1</v>
      </c>
      <c r="K70">
        <f t="shared" si="1"/>
        <v>2.8015999999999999E-2</v>
      </c>
      <c r="L70">
        <f t="shared" si="3"/>
        <v>5.7288505886636754E-2</v>
      </c>
      <c r="R70" t="s">
        <v>22</v>
      </c>
    </row>
    <row r="71" spans="1:18" x14ac:dyDescent="0.3">
      <c r="A71">
        <v>30</v>
      </c>
      <c r="B71">
        <v>0</v>
      </c>
      <c r="C71">
        <v>60</v>
      </c>
      <c r="D71">
        <v>0</v>
      </c>
      <c r="E71">
        <v>2.7570999999999998E-2</v>
      </c>
      <c r="I71">
        <f t="shared" si="0"/>
        <v>60</v>
      </c>
      <c r="J71">
        <f>1</f>
        <v>1</v>
      </c>
      <c r="K71">
        <f t="shared" si="1"/>
        <v>2.7570999999999998E-2</v>
      </c>
      <c r="L71">
        <f t="shared" si="3"/>
        <v>4.3785653598737706E-2</v>
      </c>
    </row>
    <row r="72" spans="1:18" x14ac:dyDescent="0.3">
      <c r="A72">
        <v>30</v>
      </c>
      <c r="B72">
        <v>0</v>
      </c>
      <c r="C72">
        <v>65</v>
      </c>
      <c r="D72">
        <v>0</v>
      </c>
      <c r="E72">
        <v>2.7200999999999999E-2</v>
      </c>
      <c r="I72">
        <f t="shared" si="0"/>
        <v>65</v>
      </c>
      <c r="J72">
        <f>1</f>
        <v>1</v>
      </c>
      <c r="K72">
        <f t="shared" si="1"/>
        <v>2.7200999999999999E-2</v>
      </c>
      <c r="L72">
        <f t="shared" si="3"/>
        <v>3.2558562932394737E-2</v>
      </c>
    </row>
    <row r="73" spans="1:18" x14ac:dyDescent="0.3">
      <c r="A73">
        <v>30</v>
      </c>
      <c r="B73">
        <v>0</v>
      </c>
      <c r="C73">
        <v>70</v>
      </c>
      <c r="D73">
        <v>0</v>
      </c>
      <c r="E73">
        <v>2.6738000000000001E-2</v>
      </c>
      <c r="I73">
        <f t="shared" si="0"/>
        <v>70</v>
      </c>
      <c r="J73">
        <f>1</f>
        <v>1</v>
      </c>
      <c r="K73">
        <f t="shared" si="1"/>
        <v>2.6738000000000001E-2</v>
      </c>
      <c r="L73">
        <f t="shared" si="3"/>
        <v>1.8509527855322335E-2</v>
      </c>
    </row>
    <row r="74" spans="1:18" x14ac:dyDescent="0.3">
      <c r="A74">
        <v>30</v>
      </c>
      <c r="B74">
        <v>0</v>
      </c>
      <c r="C74">
        <v>75</v>
      </c>
      <c r="D74">
        <v>0</v>
      </c>
      <c r="E74">
        <v>2.6127999999999998E-2</v>
      </c>
      <c r="I74">
        <f t="shared" si="0"/>
        <v>75</v>
      </c>
      <c r="J74">
        <f>1</f>
        <v>1</v>
      </c>
      <c r="K74">
        <f t="shared" si="1"/>
        <v>2.6127999999999998E-2</v>
      </c>
      <c r="L74">
        <f t="shared" si="3"/>
        <v>0</v>
      </c>
    </row>
    <row r="75" spans="1:18" x14ac:dyDescent="0.3">
      <c r="A75">
        <v>30</v>
      </c>
      <c r="B75">
        <v>0</v>
      </c>
      <c r="C75">
        <v>80</v>
      </c>
      <c r="D75">
        <v>0</v>
      </c>
      <c r="E75">
        <v>1.5899999999999999E-4</v>
      </c>
      <c r="I75">
        <f t="shared" si="0"/>
        <v>80</v>
      </c>
      <c r="J75">
        <f>1</f>
        <v>1</v>
      </c>
      <c r="K75">
        <f t="shared" si="1"/>
        <v>1.5899999999999999E-4</v>
      </c>
    </row>
    <row r="76" spans="1:18" x14ac:dyDescent="0.3">
      <c r="A76">
        <v>30</v>
      </c>
      <c r="B76">
        <v>0</v>
      </c>
      <c r="C76">
        <v>85</v>
      </c>
      <c r="D76">
        <v>0</v>
      </c>
      <c r="E76">
        <v>1.9999999999999999E-6</v>
      </c>
      <c r="I76">
        <f t="shared" si="0"/>
        <v>85</v>
      </c>
      <c r="J76">
        <f>1</f>
        <v>1</v>
      </c>
      <c r="K76">
        <f t="shared" si="1"/>
        <v>1.9999999999999999E-6</v>
      </c>
    </row>
    <row r="77" spans="1:18" x14ac:dyDescent="0.3">
      <c r="A77" s="9">
        <v>50</v>
      </c>
      <c r="B77" s="9">
        <v>0</v>
      </c>
      <c r="C77" s="9">
        <v>85</v>
      </c>
      <c r="D77" s="9">
        <v>180</v>
      </c>
      <c r="E77" s="9">
        <v>9.9999999999999995E-7</v>
      </c>
      <c r="F77" s="9"/>
      <c r="G77" s="9"/>
      <c r="H77" s="9"/>
      <c r="I77">
        <f t="shared" si="0"/>
        <v>-85</v>
      </c>
      <c r="J77">
        <f>1</f>
        <v>1</v>
      </c>
      <c r="K77" s="9">
        <f t="shared" si="1"/>
        <v>9.9999999999999995E-7</v>
      </c>
    </row>
    <row r="78" spans="1:18" x14ac:dyDescent="0.3">
      <c r="A78">
        <v>50</v>
      </c>
      <c r="B78">
        <v>0</v>
      </c>
      <c r="C78">
        <v>80</v>
      </c>
      <c r="D78">
        <v>180</v>
      </c>
      <c r="E78">
        <v>5.2560000000000003E-3</v>
      </c>
      <c r="I78">
        <f t="shared" ref="I78:I140" si="4">IF(D78=180,-C78,C78)</f>
        <v>-80</v>
      </c>
      <c r="J78">
        <f>1</f>
        <v>1</v>
      </c>
      <c r="K78">
        <f t="shared" ref="K78:K140" si="5">E78*J78</f>
        <v>5.2560000000000003E-3</v>
      </c>
    </row>
    <row r="79" spans="1:18" x14ac:dyDescent="0.3">
      <c r="A79">
        <v>50</v>
      </c>
      <c r="B79">
        <v>0</v>
      </c>
      <c r="C79">
        <v>75</v>
      </c>
      <c r="D79">
        <v>180</v>
      </c>
      <c r="E79">
        <v>0.18479499999999999</v>
      </c>
      <c r="I79">
        <f t="shared" si="4"/>
        <v>-75</v>
      </c>
      <c r="J79">
        <f>1</f>
        <v>1</v>
      </c>
      <c r="K79">
        <f t="shared" si="5"/>
        <v>0.18479499999999999</v>
      </c>
      <c r="L79">
        <f>(K79-MIN(K$79:K$106))/(MAX(K$79:K$106)-MIN(K$79:K$106))</f>
        <v>1</v>
      </c>
    </row>
    <row r="80" spans="1:18" x14ac:dyDescent="0.3">
      <c r="A80">
        <v>50</v>
      </c>
      <c r="B80">
        <v>0</v>
      </c>
      <c r="C80">
        <v>70</v>
      </c>
      <c r="D80">
        <v>180</v>
      </c>
      <c r="E80">
        <v>0.141487</v>
      </c>
      <c r="I80">
        <f t="shared" si="4"/>
        <v>-70</v>
      </c>
      <c r="J80">
        <f>1</f>
        <v>1</v>
      </c>
      <c r="K80">
        <f t="shared" si="5"/>
        <v>0.141487</v>
      </c>
      <c r="L80">
        <f t="shared" ref="L80:L106" si="6">(K80-MIN(K$79:K$106))/(MAX(K$79:K$106)-MIN(K$79:K$106))</f>
        <v>0.7257616149847077</v>
      </c>
    </row>
    <row r="81" spans="1:12" x14ac:dyDescent="0.3">
      <c r="A81">
        <v>50</v>
      </c>
      <c r="B81">
        <v>0</v>
      </c>
      <c r="C81">
        <v>65</v>
      </c>
      <c r="D81">
        <v>180</v>
      </c>
      <c r="E81">
        <v>0.109427</v>
      </c>
      <c r="I81">
        <f t="shared" si="4"/>
        <v>-65</v>
      </c>
      <c r="J81">
        <f>1</f>
        <v>1</v>
      </c>
      <c r="K81">
        <f t="shared" si="5"/>
        <v>0.109427</v>
      </c>
      <c r="L81">
        <f t="shared" si="6"/>
        <v>0.52274871613021712</v>
      </c>
    </row>
    <row r="82" spans="1:12" x14ac:dyDescent="0.3">
      <c r="A82">
        <v>50</v>
      </c>
      <c r="B82">
        <v>0</v>
      </c>
      <c r="C82">
        <v>60</v>
      </c>
      <c r="D82">
        <v>180</v>
      </c>
      <c r="E82">
        <v>8.6415000000000006E-2</v>
      </c>
      <c r="I82">
        <f t="shared" si="4"/>
        <v>-60</v>
      </c>
      <c r="J82">
        <f>1</f>
        <v>1</v>
      </c>
      <c r="K82">
        <f t="shared" si="5"/>
        <v>8.6415000000000006E-2</v>
      </c>
      <c r="L82">
        <f t="shared" si="6"/>
        <v>0.37703028729554661</v>
      </c>
    </row>
    <row r="83" spans="1:12" x14ac:dyDescent="0.3">
      <c r="A83">
        <v>50</v>
      </c>
      <c r="B83">
        <v>0</v>
      </c>
      <c r="C83">
        <v>55</v>
      </c>
      <c r="D83">
        <v>180</v>
      </c>
      <c r="E83">
        <v>7.0278999999999994E-2</v>
      </c>
      <c r="I83">
        <f t="shared" si="4"/>
        <v>-55</v>
      </c>
      <c r="J83">
        <f>1</f>
        <v>1</v>
      </c>
      <c r="K83">
        <f t="shared" si="5"/>
        <v>7.0278999999999994E-2</v>
      </c>
      <c r="L83">
        <f t="shared" si="6"/>
        <v>0.27485261618150852</v>
      </c>
    </row>
    <row r="84" spans="1:12" x14ac:dyDescent="0.3">
      <c r="A84">
        <v>50</v>
      </c>
      <c r="B84">
        <v>0</v>
      </c>
      <c r="C84">
        <v>50</v>
      </c>
      <c r="D84">
        <v>180</v>
      </c>
      <c r="E84">
        <v>5.8729999999999997E-2</v>
      </c>
      <c r="I84">
        <f t="shared" si="4"/>
        <v>-50</v>
      </c>
      <c r="J84">
        <f>1</f>
        <v>1</v>
      </c>
      <c r="K84">
        <f t="shared" si="5"/>
        <v>5.8729999999999997E-2</v>
      </c>
      <c r="L84">
        <f t="shared" si="6"/>
        <v>0.20172111372141768</v>
      </c>
    </row>
    <row r="85" spans="1:12" x14ac:dyDescent="0.3">
      <c r="A85">
        <v>50</v>
      </c>
      <c r="B85">
        <v>0</v>
      </c>
      <c r="C85">
        <v>45</v>
      </c>
      <c r="D85">
        <v>180</v>
      </c>
      <c r="E85">
        <v>5.0389000000000003E-2</v>
      </c>
      <c r="I85">
        <f t="shared" si="4"/>
        <v>-45</v>
      </c>
      <c r="J85">
        <f>1</f>
        <v>1</v>
      </c>
      <c r="K85">
        <f t="shared" si="5"/>
        <v>5.0389000000000003E-2</v>
      </c>
      <c r="L85">
        <f t="shared" si="6"/>
        <v>0.14890356570690413</v>
      </c>
    </row>
    <row r="86" spans="1:12" x14ac:dyDescent="0.3">
      <c r="A86">
        <v>50</v>
      </c>
      <c r="B86">
        <v>0</v>
      </c>
      <c r="C86">
        <v>40</v>
      </c>
      <c r="D86">
        <v>180</v>
      </c>
      <c r="E86">
        <v>4.4084999999999999E-2</v>
      </c>
      <c r="I86">
        <f t="shared" si="4"/>
        <v>-40</v>
      </c>
      <c r="J86">
        <f>1</f>
        <v>1</v>
      </c>
      <c r="K86">
        <f t="shared" si="5"/>
        <v>4.4084999999999999E-2</v>
      </c>
      <c r="L86">
        <f t="shared" si="6"/>
        <v>0.10898487218292692</v>
      </c>
    </row>
    <row r="87" spans="1:12" x14ac:dyDescent="0.3">
      <c r="A87">
        <v>50</v>
      </c>
      <c r="B87">
        <v>0</v>
      </c>
      <c r="C87">
        <v>35</v>
      </c>
      <c r="D87">
        <v>180</v>
      </c>
      <c r="E87">
        <v>3.9572000000000003E-2</v>
      </c>
      <c r="I87">
        <f t="shared" si="4"/>
        <v>-35</v>
      </c>
      <c r="J87">
        <f>1</f>
        <v>1</v>
      </c>
      <c r="K87">
        <f t="shared" si="5"/>
        <v>3.9572000000000003E-2</v>
      </c>
      <c r="L87">
        <f t="shared" si="6"/>
        <v>8.040729225372184E-2</v>
      </c>
    </row>
    <row r="88" spans="1:12" x14ac:dyDescent="0.3">
      <c r="A88">
        <v>50</v>
      </c>
      <c r="B88">
        <v>0</v>
      </c>
      <c r="C88">
        <v>30</v>
      </c>
      <c r="D88">
        <v>180</v>
      </c>
      <c r="E88">
        <v>3.5965999999999998E-2</v>
      </c>
      <c r="I88">
        <f t="shared" si="4"/>
        <v>-30</v>
      </c>
      <c r="J88">
        <f>1</f>
        <v>1</v>
      </c>
      <c r="K88">
        <f t="shared" si="5"/>
        <v>3.5965999999999998E-2</v>
      </c>
      <c r="L88">
        <f t="shared" si="6"/>
        <v>5.7573090342639681E-2</v>
      </c>
    </row>
    <row r="89" spans="1:12" x14ac:dyDescent="0.3">
      <c r="A89">
        <v>50</v>
      </c>
      <c r="B89">
        <v>0</v>
      </c>
      <c r="C89">
        <v>25</v>
      </c>
      <c r="D89">
        <v>180</v>
      </c>
      <c r="E89">
        <v>3.3166000000000001E-2</v>
      </c>
      <c r="I89">
        <f t="shared" si="4"/>
        <v>-25</v>
      </c>
      <c r="J89">
        <f>1</f>
        <v>1</v>
      </c>
      <c r="K89">
        <f t="shared" si="5"/>
        <v>3.3166000000000001E-2</v>
      </c>
      <c r="L89">
        <f t="shared" si="6"/>
        <v>3.9842706163208209E-2</v>
      </c>
    </row>
    <row r="90" spans="1:12" x14ac:dyDescent="0.3">
      <c r="A90">
        <v>50</v>
      </c>
      <c r="B90">
        <v>0</v>
      </c>
      <c r="C90">
        <v>20</v>
      </c>
      <c r="D90">
        <v>180</v>
      </c>
      <c r="E90">
        <v>3.1361E-2</v>
      </c>
      <c r="I90">
        <f t="shared" si="4"/>
        <v>-20</v>
      </c>
      <c r="J90">
        <f>1</f>
        <v>1</v>
      </c>
      <c r="K90">
        <f t="shared" si="5"/>
        <v>3.1361E-2</v>
      </c>
      <c r="L90">
        <f t="shared" si="6"/>
        <v>2.8412940647538971E-2</v>
      </c>
    </row>
    <row r="91" spans="1:12" x14ac:dyDescent="0.3">
      <c r="A91">
        <v>50</v>
      </c>
      <c r="B91">
        <v>0</v>
      </c>
      <c r="C91">
        <v>15</v>
      </c>
      <c r="D91">
        <v>180</v>
      </c>
      <c r="E91">
        <v>2.9956E-2</v>
      </c>
      <c r="I91">
        <f t="shared" si="4"/>
        <v>-15</v>
      </c>
      <c r="J91">
        <f>1</f>
        <v>1</v>
      </c>
      <c r="K91">
        <f t="shared" si="5"/>
        <v>2.9956E-2</v>
      </c>
      <c r="L91">
        <f t="shared" si="6"/>
        <v>1.9516087157502814E-2</v>
      </c>
    </row>
    <row r="92" spans="1:12" x14ac:dyDescent="0.3">
      <c r="A92">
        <v>50</v>
      </c>
      <c r="B92">
        <v>0</v>
      </c>
      <c r="C92">
        <v>10</v>
      </c>
      <c r="D92">
        <v>180</v>
      </c>
      <c r="E92">
        <v>2.8812000000000001E-2</v>
      </c>
      <c r="I92">
        <f t="shared" si="4"/>
        <v>-10</v>
      </c>
      <c r="J92">
        <f>1</f>
        <v>1</v>
      </c>
      <c r="K92">
        <f t="shared" si="5"/>
        <v>2.8812000000000001E-2</v>
      </c>
      <c r="L92">
        <f t="shared" si="6"/>
        <v>1.2271958764192238E-2</v>
      </c>
    </row>
    <row r="93" spans="1:12" x14ac:dyDescent="0.3">
      <c r="A93">
        <v>50</v>
      </c>
      <c r="B93">
        <v>0</v>
      </c>
      <c r="C93">
        <v>5</v>
      </c>
      <c r="D93">
        <v>180</v>
      </c>
      <c r="E93">
        <v>2.7954E-2</v>
      </c>
      <c r="I93">
        <f t="shared" si="4"/>
        <v>-5</v>
      </c>
      <c r="J93">
        <f>1</f>
        <v>1</v>
      </c>
      <c r="K93">
        <f t="shared" si="5"/>
        <v>2.7954E-2</v>
      </c>
      <c r="L93">
        <f t="shared" si="6"/>
        <v>6.8388624692092958E-3</v>
      </c>
    </row>
    <row r="94" spans="1:12" x14ac:dyDescent="0.3">
      <c r="A94">
        <v>50</v>
      </c>
      <c r="B94">
        <v>0</v>
      </c>
      <c r="C94">
        <v>0</v>
      </c>
      <c r="D94">
        <v>0</v>
      </c>
      <c r="E94">
        <v>2.7452000000000001E-2</v>
      </c>
      <c r="I94">
        <f t="shared" si="4"/>
        <v>0</v>
      </c>
      <c r="J94">
        <f>1</f>
        <v>1</v>
      </c>
      <c r="K94">
        <f t="shared" si="5"/>
        <v>2.7452000000000001E-2</v>
      </c>
      <c r="L94">
        <f t="shared" si="6"/>
        <v>3.6600578770397997E-3</v>
      </c>
    </row>
    <row r="95" spans="1:12" x14ac:dyDescent="0.3">
      <c r="A95">
        <v>50</v>
      </c>
      <c r="B95">
        <v>0</v>
      </c>
      <c r="C95">
        <v>5</v>
      </c>
      <c r="D95">
        <v>0</v>
      </c>
      <c r="E95">
        <v>2.7104E-2</v>
      </c>
      <c r="I95">
        <f t="shared" si="4"/>
        <v>5</v>
      </c>
      <c r="J95">
        <f>1</f>
        <v>1</v>
      </c>
      <c r="K95">
        <f t="shared" si="5"/>
        <v>2.7104E-2</v>
      </c>
      <c r="L95">
        <f t="shared" si="6"/>
        <v>1.4564244147390218E-3</v>
      </c>
    </row>
    <row r="96" spans="1:12" x14ac:dyDescent="0.3">
      <c r="A96">
        <v>50</v>
      </c>
      <c r="B96">
        <v>0</v>
      </c>
      <c r="C96">
        <v>10</v>
      </c>
      <c r="D96">
        <v>0</v>
      </c>
      <c r="E96">
        <v>2.6873999999999999E-2</v>
      </c>
      <c r="I96">
        <f t="shared" si="4"/>
        <v>10</v>
      </c>
      <c r="J96">
        <f>1</f>
        <v>1</v>
      </c>
      <c r="K96">
        <f t="shared" si="5"/>
        <v>2.6873999999999999E-2</v>
      </c>
      <c r="L96">
        <f t="shared" si="6"/>
        <v>0</v>
      </c>
    </row>
    <row r="97" spans="1:12" x14ac:dyDescent="0.3">
      <c r="A97">
        <v>50</v>
      </c>
      <c r="B97">
        <v>0</v>
      </c>
      <c r="C97">
        <v>15</v>
      </c>
      <c r="D97">
        <v>0</v>
      </c>
      <c r="E97">
        <v>2.6980000000000001E-2</v>
      </c>
      <c r="I97">
        <f t="shared" si="4"/>
        <v>15</v>
      </c>
      <c r="J97">
        <f>1</f>
        <v>1</v>
      </c>
      <c r="K97">
        <f t="shared" si="5"/>
        <v>2.6980000000000001E-2</v>
      </c>
      <c r="L97">
        <f t="shared" si="6"/>
        <v>6.7122168679277581E-4</v>
      </c>
    </row>
    <row r="98" spans="1:12" x14ac:dyDescent="0.3">
      <c r="A98">
        <v>50</v>
      </c>
      <c r="B98">
        <v>0</v>
      </c>
      <c r="C98">
        <v>20</v>
      </c>
      <c r="D98">
        <v>0</v>
      </c>
      <c r="E98">
        <v>2.7275000000000001E-2</v>
      </c>
      <c r="I98">
        <f t="shared" si="4"/>
        <v>20</v>
      </c>
      <c r="J98">
        <f>1</f>
        <v>1</v>
      </c>
      <c r="K98">
        <f t="shared" si="5"/>
        <v>2.7275000000000001E-2</v>
      </c>
      <c r="L98">
        <f t="shared" si="6"/>
        <v>2.5392443056971659E-3</v>
      </c>
    </row>
    <row r="99" spans="1:12" x14ac:dyDescent="0.3">
      <c r="A99">
        <v>50</v>
      </c>
      <c r="B99">
        <v>0</v>
      </c>
      <c r="C99">
        <v>25</v>
      </c>
      <c r="D99">
        <v>0</v>
      </c>
      <c r="E99">
        <v>2.7681999999999998E-2</v>
      </c>
      <c r="I99">
        <f t="shared" si="4"/>
        <v>25</v>
      </c>
      <c r="J99">
        <f>1</f>
        <v>1</v>
      </c>
      <c r="K99">
        <f t="shared" si="5"/>
        <v>2.7681999999999998E-2</v>
      </c>
      <c r="L99">
        <f t="shared" si="6"/>
        <v>5.1164822917787994E-3</v>
      </c>
    </row>
    <row r="100" spans="1:12" x14ac:dyDescent="0.3">
      <c r="A100">
        <v>50</v>
      </c>
      <c r="B100">
        <v>0</v>
      </c>
      <c r="C100">
        <v>30</v>
      </c>
      <c r="D100">
        <v>0</v>
      </c>
      <c r="E100">
        <v>2.8416E-2</v>
      </c>
      <c r="I100">
        <f t="shared" si="4"/>
        <v>30</v>
      </c>
      <c r="J100">
        <f>1</f>
        <v>1</v>
      </c>
      <c r="K100">
        <f t="shared" si="5"/>
        <v>2.8416E-2</v>
      </c>
      <c r="L100">
        <f t="shared" si="6"/>
        <v>9.7643758588154966E-3</v>
      </c>
    </row>
    <row r="101" spans="1:12" x14ac:dyDescent="0.3">
      <c r="A101">
        <v>50</v>
      </c>
      <c r="B101">
        <v>0</v>
      </c>
      <c r="C101">
        <v>35</v>
      </c>
      <c r="D101">
        <v>0</v>
      </c>
      <c r="E101">
        <v>2.9472000000000002E-2</v>
      </c>
      <c r="I101">
        <f t="shared" si="4"/>
        <v>35</v>
      </c>
      <c r="J101">
        <f>1</f>
        <v>1</v>
      </c>
      <c r="K101">
        <f t="shared" si="5"/>
        <v>2.9472000000000002E-2</v>
      </c>
      <c r="L101">
        <f t="shared" si="6"/>
        <v>1.6451263606486809E-2</v>
      </c>
    </row>
    <row r="102" spans="1:12" x14ac:dyDescent="0.3">
      <c r="A102">
        <v>50</v>
      </c>
      <c r="B102">
        <v>0</v>
      </c>
      <c r="C102">
        <v>40</v>
      </c>
      <c r="D102">
        <v>0</v>
      </c>
      <c r="E102">
        <v>3.0802E-2</v>
      </c>
      <c r="I102">
        <f t="shared" si="4"/>
        <v>40</v>
      </c>
      <c r="J102">
        <f>1</f>
        <v>1</v>
      </c>
      <c r="K102">
        <f t="shared" si="5"/>
        <v>3.0802E-2</v>
      </c>
      <c r="L102">
        <f t="shared" si="6"/>
        <v>2.4873196091716752E-2</v>
      </c>
    </row>
    <row r="103" spans="1:12" x14ac:dyDescent="0.3">
      <c r="A103">
        <v>50</v>
      </c>
      <c r="B103">
        <v>0</v>
      </c>
      <c r="C103">
        <v>60</v>
      </c>
      <c r="D103">
        <v>0</v>
      </c>
      <c r="E103">
        <v>3.3422E-2</v>
      </c>
      <c r="I103">
        <f t="shared" si="4"/>
        <v>60</v>
      </c>
      <c r="J103">
        <f>1</f>
        <v>1</v>
      </c>
      <c r="K103">
        <f t="shared" si="5"/>
        <v>3.3422E-2</v>
      </c>
      <c r="L103">
        <f t="shared" si="6"/>
        <v>4.1463769859613371E-2</v>
      </c>
    </row>
    <row r="104" spans="1:12" x14ac:dyDescent="0.3">
      <c r="A104">
        <v>50</v>
      </c>
      <c r="B104">
        <v>0</v>
      </c>
      <c r="C104">
        <v>65</v>
      </c>
      <c r="D104">
        <v>0</v>
      </c>
      <c r="E104">
        <v>3.2709000000000002E-2</v>
      </c>
      <c r="I104">
        <f t="shared" si="4"/>
        <v>65</v>
      </c>
      <c r="J104">
        <f>1</f>
        <v>1</v>
      </c>
      <c r="K104">
        <f t="shared" si="5"/>
        <v>3.2709000000000002E-2</v>
      </c>
      <c r="L104">
        <f t="shared" si="6"/>
        <v>3.6948854173922428E-2</v>
      </c>
    </row>
    <row r="105" spans="1:12" x14ac:dyDescent="0.3">
      <c r="A105">
        <v>50</v>
      </c>
      <c r="B105">
        <v>0</v>
      </c>
      <c r="C105">
        <v>70</v>
      </c>
      <c r="D105">
        <v>0</v>
      </c>
      <c r="E105">
        <v>3.1904000000000002E-2</v>
      </c>
      <c r="I105">
        <f t="shared" si="4"/>
        <v>70</v>
      </c>
      <c r="J105">
        <f>1</f>
        <v>1</v>
      </c>
      <c r="K105">
        <f t="shared" si="5"/>
        <v>3.1904000000000002E-2</v>
      </c>
      <c r="L105">
        <f t="shared" si="6"/>
        <v>3.1851368722335877E-2</v>
      </c>
    </row>
    <row r="106" spans="1:12" x14ac:dyDescent="0.3">
      <c r="A106">
        <v>50</v>
      </c>
      <c r="B106">
        <v>0</v>
      </c>
      <c r="C106">
        <v>75</v>
      </c>
      <c r="D106">
        <v>0</v>
      </c>
      <c r="E106">
        <v>3.0845999999999998E-2</v>
      </c>
      <c r="I106">
        <f t="shared" si="4"/>
        <v>75</v>
      </c>
      <c r="J106">
        <f>1</f>
        <v>1</v>
      </c>
      <c r="K106">
        <f t="shared" si="5"/>
        <v>3.0845999999999998E-2</v>
      </c>
      <c r="L106">
        <f t="shared" si="6"/>
        <v>2.5151816414536385E-2</v>
      </c>
    </row>
    <row r="107" spans="1:12" x14ac:dyDescent="0.3">
      <c r="A107">
        <v>50</v>
      </c>
      <c r="B107">
        <v>0</v>
      </c>
      <c r="C107">
        <v>80</v>
      </c>
      <c r="D107">
        <v>0</v>
      </c>
      <c r="E107">
        <v>1.9000000000000001E-4</v>
      </c>
      <c r="I107">
        <f t="shared" si="4"/>
        <v>80</v>
      </c>
      <c r="J107">
        <f>1</f>
        <v>1</v>
      </c>
      <c r="K107">
        <f t="shared" si="5"/>
        <v>1.9000000000000001E-4</v>
      </c>
    </row>
    <row r="108" spans="1:12" x14ac:dyDescent="0.3">
      <c r="A108">
        <v>50</v>
      </c>
      <c r="B108">
        <v>0</v>
      </c>
      <c r="C108">
        <v>85</v>
      </c>
      <c r="D108">
        <v>0</v>
      </c>
      <c r="E108">
        <v>5.0000000000000004E-6</v>
      </c>
      <c r="I108">
        <f t="shared" si="4"/>
        <v>85</v>
      </c>
      <c r="J108">
        <f>1</f>
        <v>1</v>
      </c>
      <c r="K108">
        <f t="shared" si="5"/>
        <v>5.0000000000000004E-6</v>
      </c>
    </row>
    <row r="109" spans="1:12" x14ac:dyDescent="0.3">
      <c r="A109" s="9">
        <v>70</v>
      </c>
      <c r="B109" s="9">
        <v>0</v>
      </c>
      <c r="C109" s="9">
        <v>85</v>
      </c>
      <c r="D109" s="9">
        <v>180</v>
      </c>
      <c r="E109" s="9">
        <v>1.6000000000000001E-4</v>
      </c>
      <c r="F109" s="9"/>
      <c r="G109" s="9"/>
      <c r="H109" s="9"/>
      <c r="I109">
        <f t="shared" si="4"/>
        <v>-85</v>
      </c>
      <c r="J109">
        <f>1</f>
        <v>1</v>
      </c>
      <c r="K109" s="9">
        <f t="shared" si="5"/>
        <v>1.6000000000000001E-4</v>
      </c>
    </row>
    <row r="110" spans="1:12" x14ac:dyDescent="0.3">
      <c r="A110">
        <v>70</v>
      </c>
      <c r="B110">
        <v>0</v>
      </c>
      <c r="C110">
        <v>80</v>
      </c>
      <c r="D110">
        <v>180</v>
      </c>
      <c r="E110">
        <v>3.6168589999999998</v>
      </c>
      <c r="I110">
        <f t="shared" si="4"/>
        <v>-80</v>
      </c>
      <c r="J110">
        <f>1</f>
        <v>1</v>
      </c>
      <c r="K110">
        <f t="shared" si="5"/>
        <v>3.6168589999999998</v>
      </c>
    </row>
    <row r="111" spans="1:12" x14ac:dyDescent="0.3">
      <c r="A111">
        <v>70</v>
      </c>
      <c r="B111">
        <v>0</v>
      </c>
      <c r="C111">
        <v>75</v>
      </c>
      <c r="D111">
        <v>180</v>
      </c>
      <c r="E111">
        <v>1.5172190000000001</v>
      </c>
      <c r="I111">
        <f t="shared" si="4"/>
        <v>-75</v>
      </c>
      <c r="J111">
        <f>1</f>
        <v>1</v>
      </c>
      <c r="K111">
        <f t="shared" si="5"/>
        <v>1.5172190000000001</v>
      </c>
      <c r="L111">
        <f>(K111-MIN(K$111:K$138))/(MAX(K$111:K$138)-MIN(K$111:K$138))</f>
        <v>1</v>
      </c>
    </row>
    <row r="112" spans="1:12" x14ac:dyDescent="0.3">
      <c r="A112">
        <v>70</v>
      </c>
      <c r="B112">
        <v>0</v>
      </c>
      <c r="C112">
        <v>70</v>
      </c>
      <c r="D112">
        <v>180</v>
      </c>
      <c r="E112">
        <v>0.84120200000000001</v>
      </c>
      <c r="I112">
        <f t="shared" si="4"/>
        <v>-70</v>
      </c>
      <c r="J112">
        <f>1</f>
        <v>1</v>
      </c>
      <c r="K112">
        <f t="shared" si="5"/>
        <v>0.84120200000000001</v>
      </c>
      <c r="L112">
        <f t="shared" ref="L112:L138" si="7">(K112-MIN(K$111:K$138))/(MAX(K$111:K$138)-MIN(K$111:K$138))</f>
        <v>0.54650275881731425</v>
      </c>
    </row>
    <row r="113" spans="1:12" x14ac:dyDescent="0.3">
      <c r="A113">
        <v>70</v>
      </c>
      <c r="B113">
        <v>0</v>
      </c>
      <c r="C113">
        <v>65</v>
      </c>
      <c r="D113">
        <v>180</v>
      </c>
      <c r="E113">
        <v>0.493197</v>
      </c>
      <c r="I113">
        <f t="shared" si="4"/>
        <v>-65</v>
      </c>
      <c r="J113">
        <f>1</f>
        <v>1</v>
      </c>
      <c r="K113">
        <f t="shared" si="5"/>
        <v>0.493197</v>
      </c>
      <c r="L113">
        <f t="shared" si="7"/>
        <v>0.31304811578647251</v>
      </c>
    </row>
    <row r="114" spans="1:12" x14ac:dyDescent="0.3">
      <c r="A114">
        <v>70</v>
      </c>
      <c r="B114">
        <v>0</v>
      </c>
      <c r="C114">
        <v>60</v>
      </c>
      <c r="D114">
        <v>180</v>
      </c>
      <c r="E114">
        <v>0.30892599999999998</v>
      </c>
      <c r="I114">
        <f t="shared" si="4"/>
        <v>-60</v>
      </c>
      <c r="J114">
        <f>1</f>
        <v>1</v>
      </c>
      <c r="K114">
        <f t="shared" si="5"/>
        <v>0.30892599999999998</v>
      </c>
      <c r="L114">
        <f t="shared" si="7"/>
        <v>0.1894323041575125</v>
      </c>
    </row>
    <row r="115" spans="1:12" x14ac:dyDescent="0.3">
      <c r="A115">
        <v>70</v>
      </c>
      <c r="B115">
        <v>0</v>
      </c>
      <c r="C115">
        <v>55</v>
      </c>
      <c r="D115">
        <v>180</v>
      </c>
      <c r="E115">
        <v>0.20454800000000001</v>
      </c>
      <c r="I115">
        <f t="shared" si="4"/>
        <v>-55</v>
      </c>
      <c r="J115">
        <f>1</f>
        <v>1</v>
      </c>
      <c r="K115">
        <f t="shared" si="5"/>
        <v>0.20454800000000001</v>
      </c>
      <c r="L115">
        <f t="shared" si="7"/>
        <v>0.11941167591862745</v>
      </c>
    </row>
    <row r="116" spans="1:12" x14ac:dyDescent="0.3">
      <c r="A116">
        <v>70</v>
      </c>
      <c r="B116">
        <v>0</v>
      </c>
      <c r="C116">
        <v>50</v>
      </c>
      <c r="D116">
        <v>180</v>
      </c>
      <c r="E116">
        <v>0.14199700000000001</v>
      </c>
      <c r="I116">
        <f t="shared" si="4"/>
        <v>-50</v>
      </c>
      <c r="J116">
        <f>1</f>
        <v>1</v>
      </c>
      <c r="K116">
        <f t="shared" si="5"/>
        <v>0.14199700000000001</v>
      </c>
      <c r="L116">
        <f t="shared" si="7"/>
        <v>7.7450148422694418E-2</v>
      </c>
    </row>
    <row r="117" spans="1:12" x14ac:dyDescent="0.3">
      <c r="A117">
        <v>70</v>
      </c>
      <c r="B117">
        <v>0</v>
      </c>
      <c r="C117">
        <v>45</v>
      </c>
      <c r="D117">
        <v>180</v>
      </c>
      <c r="E117">
        <v>0.104459</v>
      </c>
      <c r="I117">
        <f t="shared" si="4"/>
        <v>-45</v>
      </c>
      <c r="J117">
        <f>1</f>
        <v>1</v>
      </c>
      <c r="K117">
        <f t="shared" si="5"/>
        <v>0.104459</v>
      </c>
      <c r="L117">
        <f t="shared" si="7"/>
        <v>5.2268267731061427E-2</v>
      </c>
    </row>
    <row r="118" spans="1:12" x14ac:dyDescent="0.3">
      <c r="A118">
        <v>70</v>
      </c>
      <c r="B118">
        <v>0</v>
      </c>
      <c r="C118">
        <v>40</v>
      </c>
      <c r="D118">
        <v>180</v>
      </c>
      <c r="E118">
        <v>8.0117999999999995E-2</v>
      </c>
      <c r="I118">
        <f t="shared" si="4"/>
        <v>-40</v>
      </c>
      <c r="J118">
        <f>1</f>
        <v>1</v>
      </c>
      <c r="K118">
        <f t="shared" si="5"/>
        <v>8.0117999999999995E-2</v>
      </c>
      <c r="L118">
        <f t="shared" si="7"/>
        <v>3.5939423415566767E-2</v>
      </c>
    </row>
    <row r="119" spans="1:12" x14ac:dyDescent="0.3">
      <c r="A119">
        <v>70</v>
      </c>
      <c r="B119">
        <v>0</v>
      </c>
      <c r="C119">
        <v>35</v>
      </c>
      <c r="D119">
        <v>180</v>
      </c>
      <c r="E119">
        <v>6.3823000000000005E-2</v>
      </c>
      <c r="I119">
        <f t="shared" si="4"/>
        <v>-35</v>
      </c>
      <c r="J119">
        <f>1</f>
        <v>1</v>
      </c>
      <c r="K119">
        <f t="shared" si="5"/>
        <v>6.3823000000000005E-2</v>
      </c>
      <c r="L119">
        <f t="shared" si="7"/>
        <v>2.5008133899072568E-2</v>
      </c>
    </row>
    <row r="120" spans="1:12" x14ac:dyDescent="0.3">
      <c r="A120">
        <v>70</v>
      </c>
      <c r="B120">
        <v>0</v>
      </c>
      <c r="C120">
        <v>30</v>
      </c>
      <c r="D120">
        <v>180</v>
      </c>
      <c r="E120">
        <v>5.2796999999999997E-2</v>
      </c>
      <c r="I120">
        <f t="shared" si="4"/>
        <v>-30</v>
      </c>
      <c r="J120">
        <f>1</f>
        <v>1</v>
      </c>
      <c r="K120">
        <f t="shared" si="5"/>
        <v>5.2796999999999997E-2</v>
      </c>
      <c r="L120">
        <f t="shared" si="7"/>
        <v>1.7611484730071941E-2</v>
      </c>
    </row>
    <row r="121" spans="1:12" x14ac:dyDescent="0.3">
      <c r="A121">
        <v>70</v>
      </c>
      <c r="B121">
        <v>0</v>
      </c>
      <c r="C121">
        <v>25</v>
      </c>
      <c r="D121">
        <v>180</v>
      </c>
      <c r="E121">
        <v>4.5093000000000001E-2</v>
      </c>
      <c r="I121">
        <f t="shared" si="4"/>
        <v>-25</v>
      </c>
      <c r="J121">
        <f>1</f>
        <v>1</v>
      </c>
      <c r="K121">
        <f t="shared" si="5"/>
        <v>4.5093000000000001E-2</v>
      </c>
      <c r="L121">
        <f t="shared" si="7"/>
        <v>1.2443356197695673E-2</v>
      </c>
    </row>
    <row r="122" spans="1:12" x14ac:dyDescent="0.3">
      <c r="A122">
        <v>70</v>
      </c>
      <c r="B122">
        <v>0</v>
      </c>
      <c r="C122">
        <v>20</v>
      </c>
      <c r="D122">
        <v>180</v>
      </c>
      <c r="E122">
        <v>3.9525999999999999E-2</v>
      </c>
      <c r="I122">
        <f t="shared" si="4"/>
        <v>-20</v>
      </c>
      <c r="J122">
        <f>1</f>
        <v>1</v>
      </c>
      <c r="K122">
        <f t="shared" si="5"/>
        <v>3.9525999999999999E-2</v>
      </c>
      <c r="L122">
        <f t="shared" si="7"/>
        <v>8.7088064132020693E-3</v>
      </c>
    </row>
    <row r="123" spans="1:12" x14ac:dyDescent="0.3">
      <c r="A123">
        <v>70</v>
      </c>
      <c r="B123">
        <v>0</v>
      </c>
      <c r="C123">
        <v>15</v>
      </c>
      <c r="D123">
        <v>180</v>
      </c>
      <c r="E123">
        <v>3.5463000000000001E-2</v>
      </c>
      <c r="I123">
        <f t="shared" si="4"/>
        <v>-15</v>
      </c>
      <c r="J123">
        <f>1</f>
        <v>1</v>
      </c>
      <c r="K123">
        <f t="shared" si="5"/>
        <v>3.5463000000000001E-2</v>
      </c>
      <c r="L123">
        <f t="shared" si="7"/>
        <v>5.9831955322253334E-3</v>
      </c>
    </row>
    <row r="124" spans="1:12" x14ac:dyDescent="0.3">
      <c r="A124">
        <v>70</v>
      </c>
      <c r="B124">
        <v>0</v>
      </c>
      <c r="C124">
        <v>10</v>
      </c>
      <c r="D124">
        <v>180</v>
      </c>
      <c r="E124">
        <v>3.2649999999999998E-2</v>
      </c>
      <c r="I124">
        <f t="shared" si="4"/>
        <v>-10</v>
      </c>
      <c r="J124">
        <f>1</f>
        <v>1</v>
      </c>
      <c r="K124">
        <f t="shared" si="5"/>
        <v>3.2649999999999998E-2</v>
      </c>
      <c r="L124">
        <f t="shared" si="7"/>
        <v>4.0961309473896024E-3</v>
      </c>
    </row>
    <row r="125" spans="1:12" x14ac:dyDescent="0.3">
      <c r="A125">
        <v>70</v>
      </c>
      <c r="B125">
        <v>0</v>
      </c>
      <c r="C125">
        <v>5</v>
      </c>
      <c r="D125">
        <v>180</v>
      </c>
      <c r="E125">
        <v>3.0384999999999999E-2</v>
      </c>
      <c r="I125">
        <f t="shared" si="4"/>
        <v>-5</v>
      </c>
      <c r="J125">
        <f>1</f>
        <v>1</v>
      </c>
      <c r="K125">
        <f t="shared" si="5"/>
        <v>3.0384999999999999E-2</v>
      </c>
      <c r="L125">
        <f t="shared" si="7"/>
        <v>2.5766850587820933E-3</v>
      </c>
    </row>
    <row r="126" spans="1:12" x14ac:dyDescent="0.3">
      <c r="A126">
        <v>70</v>
      </c>
      <c r="B126">
        <v>0</v>
      </c>
      <c r="C126">
        <v>0</v>
      </c>
      <c r="D126">
        <v>0</v>
      </c>
      <c r="E126">
        <v>2.8874E-2</v>
      </c>
      <c r="I126">
        <f t="shared" si="4"/>
        <v>0</v>
      </c>
      <c r="J126">
        <f>1</f>
        <v>1</v>
      </c>
      <c r="K126">
        <f t="shared" si="5"/>
        <v>2.8874E-2</v>
      </c>
      <c r="L126">
        <f t="shared" si="7"/>
        <v>1.5630502960068415E-3</v>
      </c>
    </row>
    <row r="127" spans="1:12" x14ac:dyDescent="0.3">
      <c r="A127">
        <v>70</v>
      </c>
      <c r="B127">
        <v>0</v>
      </c>
      <c r="C127">
        <v>5</v>
      </c>
      <c r="D127">
        <v>0</v>
      </c>
      <c r="E127">
        <v>2.7885E-2</v>
      </c>
      <c r="I127">
        <f t="shared" si="4"/>
        <v>5</v>
      </c>
      <c r="J127">
        <f>1</f>
        <v>1</v>
      </c>
      <c r="K127">
        <f t="shared" si="5"/>
        <v>2.7885E-2</v>
      </c>
      <c r="L127">
        <f t="shared" si="7"/>
        <v>8.995924665000743E-4</v>
      </c>
    </row>
    <row r="128" spans="1:12" x14ac:dyDescent="0.3">
      <c r="A128">
        <v>70</v>
      </c>
      <c r="B128">
        <v>0</v>
      </c>
      <c r="C128">
        <v>10</v>
      </c>
      <c r="D128">
        <v>0</v>
      </c>
      <c r="E128">
        <v>2.7115E-2</v>
      </c>
      <c r="I128">
        <f t="shared" si="4"/>
        <v>10</v>
      </c>
      <c r="J128">
        <f>1</f>
        <v>1</v>
      </c>
      <c r="K128">
        <f t="shared" si="5"/>
        <v>2.7115E-2</v>
      </c>
      <c r="L128">
        <f t="shared" si="7"/>
        <v>3.8304794807721235E-4</v>
      </c>
    </row>
    <row r="129" spans="1:12" x14ac:dyDescent="0.3">
      <c r="A129">
        <v>70</v>
      </c>
      <c r="B129">
        <v>0</v>
      </c>
      <c r="C129">
        <v>15</v>
      </c>
      <c r="D129">
        <v>0</v>
      </c>
      <c r="E129">
        <v>2.6658999999999999E-2</v>
      </c>
      <c r="I129">
        <f t="shared" si="4"/>
        <v>15</v>
      </c>
      <c r="J129">
        <f>1</f>
        <v>1</v>
      </c>
      <c r="K129">
        <f t="shared" si="5"/>
        <v>2.6658999999999999E-2</v>
      </c>
      <c r="L129">
        <f t="shared" si="7"/>
        <v>7.7146259244970919E-5</v>
      </c>
    </row>
    <row r="130" spans="1:12" x14ac:dyDescent="0.3">
      <c r="A130">
        <v>70</v>
      </c>
      <c r="B130">
        <v>0</v>
      </c>
      <c r="C130">
        <v>20</v>
      </c>
      <c r="D130">
        <v>0</v>
      </c>
      <c r="E130">
        <v>2.6544000000000002E-2</v>
      </c>
      <c r="I130">
        <f t="shared" si="4"/>
        <v>20</v>
      </c>
      <c r="J130">
        <f>1</f>
        <v>1</v>
      </c>
      <c r="K130">
        <f t="shared" si="5"/>
        <v>2.6544000000000002E-2</v>
      </c>
      <c r="L130">
        <f t="shared" si="7"/>
        <v>0</v>
      </c>
    </row>
    <row r="131" spans="1:12" x14ac:dyDescent="0.3">
      <c r="A131">
        <v>70</v>
      </c>
      <c r="B131">
        <v>0</v>
      </c>
      <c r="C131">
        <v>25</v>
      </c>
      <c r="D131">
        <v>0</v>
      </c>
      <c r="E131">
        <v>2.6638999999999999E-2</v>
      </c>
      <c r="I131">
        <f t="shared" si="4"/>
        <v>25</v>
      </c>
      <c r="J131">
        <f>1</f>
        <v>1</v>
      </c>
      <c r="K131">
        <f t="shared" si="5"/>
        <v>2.6638999999999999E-2</v>
      </c>
      <c r="L131">
        <f t="shared" si="7"/>
        <v>6.3729518506715319E-5</v>
      </c>
    </row>
    <row r="132" spans="1:12" x14ac:dyDescent="0.3">
      <c r="A132">
        <v>70</v>
      </c>
      <c r="B132">
        <v>0</v>
      </c>
      <c r="C132">
        <v>30</v>
      </c>
      <c r="D132">
        <v>0</v>
      </c>
      <c r="E132">
        <v>2.7008999999999998E-2</v>
      </c>
      <c r="I132">
        <f t="shared" si="4"/>
        <v>30</v>
      </c>
      <c r="J132">
        <f>1</f>
        <v>1</v>
      </c>
      <c r="K132">
        <f t="shared" si="5"/>
        <v>2.7008999999999998E-2</v>
      </c>
      <c r="L132">
        <f t="shared" si="7"/>
        <v>3.119392221644534E-4</v>
      </c>
    </row>
    <row r="133" spans="1:12" x14ac:dyDescent="0.3">
      <c r="A133">
        <v>70</v>
      </c>
      <c r="B133">
        <v>0</v>
      </c>
      <c r="C133">
        <v>35</v>
      </c>
      <c r="D133">
        <v>0</v>
      </c>
      <c r="E133">
        <v>2.7746E-2</v>
      </c>
      <c r="I133">
        <f t="shared" si="4"/>
        <v>35</v>
      </c>
      <c r="J133">
        <f>1</f>
        <v>1</v>
      </c>
      <c r="K133">
        <f t="shared" si="5"/>
        <v>2.7746E-2</v>
      </c>
      <c r="L133">
        <f t="shared" si="7"/>
        <v>8.0634611836919389E-4</v>
      </c>
    </row>
    <row r="134" spans="1:12" x14ac:dyDescent="0.3">
      <c r="A134">
        <v>70</v>
      </c>
      <c r="B134">
        <v>0</v>
      </c>
      <c r="C134">
        <v>40</v>
      </c>
      <c r="D134">
        <v>0</v>
      </c>
      <c r="E134">
        <v>2.8795999999999999E-2</v>
      </c>
      <c r="I134">
        <f t="shared" si="4"/>
        <v>40</v>
      </c>
      <c r="J134">
        <f>1</f>
        <v>1</v>
      </c>
      <c r="K134">
        <f t="shared" si="5"/>
        <v>2.8795999999999999E-2</v>
      </c>
      <c r="L134">
        <f t="shared" si="7"/>
        <v>1.5107250071276414E-3</v>
      </c>
    </row>
    <row r="135" spans="1:12" x14ac:dyDescent="0.3">
      <c r="A135">
        <v>70</v>
      </c>
      <c r="B135">
        <v>0</v>
      </c>
      <c r="C135">
        <v>45</v>
      </c>
      <c r="D135">
        <v>0</v>
      </c>
      <c r="E135">
        <v>3.0384000000000001E-2</v>
      </c>
      <c r="I135">
        <f t="shared" si="4"/>
        <v>45</v>
      </c>
      <c r="J135">
        <f>1</f>
        <v>1</v>
      </c>
      <c r="K135">
        <f t="shared" si="5"/>
        <v>3.0384000000000001E-2</v>
      </c>
      <c r="L135">
        <f t="shared" si="7"/>
        <v>2.5760142217451818E-3</v>
      </c>
    </row>
    <row r="136" spans="1:12" x14ac:dyDescent="0.3">
      <c r="A136">
        <v>70</v>
      </c>
      <c r="B136">
        <v>0</v>
      </c>
      <c r="C136">
        <v>50</v>
      </c>
      <c r="D136">
        <v>0</v>
      </c>
      <c r="E136">
        <v>3.2493000000000001E-2</v>
      </c>
      <c r="I136">
        <f t="shared" si="4"/>
        <v>50</v>
      </c>
      <c r="J136">
        <f>1</f>
        <v>1</v>
      </c>
      <c r="K136">
        <f t="shared" si="5"/>
        <v>3.2493000000000001E-2</v>
      </c>
      <c r="L136">
        <f t="shared" si="7"/>
        <v>3.9908095325942939E-3</v>
      </c>
    </row>
    <row r="137" spans="1:12" x14ac:dyDescent="0.3">
      <c r="A137">
        <v>70</v>
      </c>
      <c r="B137">
        <v>0</v>
      </c>
      <c r="C137">
        <v>55</v>
      </c>
      <c r="D137">
        <v>0</v>
      </c>
      <c r="E137">
        <v>3.5588000000000002E-2</v>
      </c>
      <c r="I137">
        <f t="shared" si="4"/>
        <v>55</v>
      </c>
      <c r="J137">
        <f>1</f>
        <v>1</v>
      </c>
      <c r="K137">
        <f t="shared" si="5"/>
        <v>3.5588000000000002E-2</v>
      </c>
      <c r="L137">
        <f t="shared" si="7"/>
        <v>6.0670501618394343E-3</v>
      </c>
    </row>
    <row r="138" spans="1:12" x14ac:dyDescent="0.3">
      <c r="A138">
        <v>70</v>
      </c>
      <c r="B138">
        <v>0</v>
      </c>
      <c r="C138">
        <v>60</v>
      </c>
      <c r="D138">
        <v>0</v>
      </c>
      <c r="E138">
        <v>3.8920999999999997E-2</v>
      </c>
      <c r="I138">
        <f t="shared" si="4"/>
        <v>60</v>
      </c>
      <c r="J138">
        <f>1</f>
        <v>1</v>
      </c>
      <c r="K138">
        <f t="shared" si="5"/>
        <v>3.8920999999999997E-2</v>
      </c>
      <c r="L138">
        <f t="shared" si="7"/>
        <v>8.3029500058698202E-3</v>
      </c>
    </row>
    <row r="139" spans="1:12" x14ac:dyDescent="0.3">
      <c r="A139">
        <v>70</v>
      </c>
      <c r="B139">
        <v>0</v>
      </c>
      <c r="C139">
        <v>80</v>
      </c>
      <c r="D139">
        <v>0</v>
      </c>
      <c r="E139">
        <v>3.9199999999999999E-4</v>
      </c>
      <c r="I139">
        <f t="shared" si="4"/>
        <v>80</v>
      </c>
      <c r="J139">
        <f>1</f>
        <v>1</v>
      </c>
      <c r="K139">
        <f t="shared" si="5"/>
        <v>3.9199999999999999E-4</v>
      </c>
    </row>
    <row r="140" spans="1:12" x14ac:dyDescent="0.3">
      <c r="A140">
        <v>70</v>
      </c>
      <c r="B140">
        <v>0</v>
      </c>
      <c r="C140">
        <v>85</v>
      </c>
      <c r="D140">
        <v>0</v>
      </c>
      <c r="E140">
        <v>1.6545319999999999</v>
      </c>
      <c r="I140">
        <f t="shared" si="4"/>
        <v>85</v>
      </c>
      <c r="J140">
        <f>1</f>
        <v>1</v>
      </c>
      <c r="K140">
        <f t="shared" si="5"/>
        <v>1.6545319999999999</v>
      </c>
    </row>
    <row r="141" spans="1:12" x14ac:dyDescent="0.3">
      <c r="A141">
        <v>0</v>
      </c>
      <c r="B141">
        <v>0</v>
      </c>
      <c r="C141">
        <v>45</v>
      </c>
      <c r="D141">
        <v>0</v>
      </c>
      <c r="E141">
        <v>2.7285E-2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6FDF-2C56-4802-81C7-531C7F56EA01}">
  <dimension ref="B3:B6"/>
  <sheetViews>
    <sheetView tabSelected="1" workbookViewId="0">
      <selection activeCell="B7" sqref="B7"/>
    </sheetView>
  </sheetViews>
  <sheetFormatPr defaultRowHeight="14.4" x14ac:dyDescent="0.3"/>
  <sheetData>
    <row r="3" spans="2:2" x14ac:dyDescent="0.3">
      <c r="B3" t="s">
        <v>23</v>
      </c>
    </row>
    <row r="6" spans="2:2" x14ac:dyDescent="0.3">
      <c r="B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</vt:lpstr>
      <vt:lpstr>raw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Krell, Jacob Patrick - (jacobpkrell)</dc:creator>
  <cp:lastModifiedBy>Krell, Jacob Patrick - (jacobpkrell)</cp:lastModifiedBy>
  <dcterms:created xsi:type="dcterms:W3CDTF">2026-06-18T23:57:37Z</dcterms:created>
  <dcterms:modified xsi:type="dcterms:W3CDTF">2026-06-25T23:40:28Z</dcterms:modified>
</cp:coreProperties>
</file>